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20" windowHeight="11020" tabRatio="142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4" i="1" l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2" i="1"/>
  <c r="E124" i="1"/>
  <c r="E123" i="1"/>
  <c r="E122" i="1"/>
  <c r="F122" i="1" s="1"/>
  <c r="E121" i="1"/>
  <c r="F121" i="1" s="1"/>
  <c r="E120" i="1"/>
  <c r="F120" i="1" s="1"/>
  <c r="E119" i="1"/>
  <c r="E118" i="1"/>
  <c r="E117" i="1"/>
  <c r="E116" i="1"/>
  <c r="E115" i="1"/>
  <c r="E114" i="1"/>
  <c r="F114" i="1" s="1"/>
  <c r="E113" i="1"/>
  <c r="F113" i="1" s="1"/>
  <c r="E112" i="1"/>
  <c r="F112" i="1" s="1"/>
  <c r="E111" i="1"/>
  <c r="E110" i="1"/>
  <c r="E109" i="1"/>
  <c r="E108" i="1"/>
  <c r="F108" i="1" s="1"/>
  <c r="E107" i="1"/>
  <c r="F107" i="1" s="1"/>
  <c r="E106" i="1"/>
  <c r="E105" i="1"/>
  <c r="E104" i="1"/>
  <c r="F104" i="1" s="1"/>
  <c r="E103" i="1"/>
  <c r="F103" i="1" s="1"/>
  <c r="E102" i="1"/>
  <c r="E101" i="1"/>
  <c r="E100" i="1"/>
  <c r="E99" i="1"/>
  <c r="E98" i="1"/>
  <c r="E97" i="1"/>
  <c r="F97" i="1" s="1"/>
  <c r="E96" i="1"/>
  <c r="E95" i="1"/>
  <c r="E94" i="1"/>
  <c r="E93" i="1"/>
  <c r="E92" i="1"/>
  <c r="E91" i="1"/>
  <c r="E90" i="1"/>
  <c r="F90" i="1" s="1"/>
  <c r="E89" i="1"/>
  <c r="F89" i="1" s="1"/>
  <c r="E88" i="1"/>
  <c r="F88" i="1" s="1"/>
  <c r="E87" i="1"/>
  <c r="F87" i="1" s="1"/>
  <c r="E86" i="1"/>
  <c r="E85" i="1"/>
  <c r="E84" i="1"/>
  <c r="F84" i="1" s="1"/>
  <c r="E83" i="1"/>
  <c r="E82" i="1"/>
  <c r="E81" i="1"/>
  <c r="E80" i="1"/>
  <c r="F80" i="1" s="1"/>
  <c r="E79" i="1"/>
  <c r="E78" i="1"/>
  <c r="F78" i="1" s="1"/>
  <c r="E77" i="1"/>
  <c r="E76" i="1"/>
  <c r="F76" i="1" s="1"/>
  <c r="E75" i="1"/>
  <c r="F75" i="1" s="1"/>
  <c r="E74" i="1"/>
  <c r="F74" i="1" s="1"/>
  <c r="E73" i="1"/>
  <c r="F73" i="1" s="1"/>
  <c r="E72" i="1"/>
  <c r="F72" i="1" s="1"/>
  <c r="E71" i="1"/>
  <c r="E70" i="1"/>
  <c r="E69" i="1"/>
  <c r="E68" i="1"/>
  <c r="E67" i="1"/>
  <c r="E66" i="1"/>
  <c r="F66" i="1" s="1"/>
  <c r="E65" i="1"/>
  <c r="F65" i="1" s="1"/>
  <c r="E64" i="1"/>
  <c r="E63" i="1"/>
  <c r="F63" i="1" s="1"/>
  <c r="E62" i="1"/>
  <c r="E61" i="1"/>
  <c r="E60" i="1"/>
  <c r="E59" i="1"/>
  <c r="E58" i="1"/>
  <c r="E57" i="1"/>
  <c r="F57" i="1" s="1"/>
  <c r="E56" i="1"/>
  <c r="F56" i="1" s="1"/>
  <c r="E55" i="1"/>
  <c r="E54" i="1"/>
  <c r="E53" i="1"/>
  <c r="E52" i="1"/>
  <c r="E51" i="1"/>
  <c r="E50" i="1"/>
  <c r="F50" i="1" s="1"/>
  <c r="E49" i="1"/>
  <c r="F49" i="1" s="1"/>
  <c r="E48" i="1"/>
  <c r="F48" i="1" s="1"/>
  <c r="E47" i="1"/>
  <c r="F47" i="1" s="1"/>
  <c r="E46" i="1"/>
  <c r="E45" i="1"/>
  <c r="E44" i="1"/>
  <c r="F44" i="1" s="1"/>
  <c r="E43" i="1"/>
  <c r="F43" i="1" s="1"/>
  <c r="E42" i="1"/>
  <c r="E41" i="1"/>
  <c r="E40" i="1"/>
  <c r="F40" i="1" s="1"/>
  <c r="E39" i="1"/>
  <c r="F39" i="1" s="1"/>
  <c r="E38" i="1"/>
  <c r="E37" i="1"/>
  <c r="E36" i="1"/>
  <c r="E35" i="1"/>
  <c r="E34" i="1"/>
  <c r="E33" i="1"/>
  <c r="F33" i="1" s="1"/>
  <c r="E32" i="1"/>
  <c r="F32" i="1" s="1"/>
  <c r="E31" i="1"/>
  <c r="F31" i="1" s="1"/>
  <c r="E30" i="1"/>
  <c r="E29" i="1"/>
  <c r="E28" i="1"/>
  <c r="E27" i="1"/>
  <c r="E26" i="1"/>
  <c r="F26" i="1" s="1"/>
  <c r="E25" i="1"/>
  <c r="F25" i="1" s="1"/>
  <c r="E24" i="1"/>
  <c r="F24" i="1" s="1"/>
  <c r="E23" i="1"/>
  <c r="F23" i="1" s="1"/>
  <c r="E22" i="1"/>
  <c r="E21" i="1"/>
  <c r="E20" i="1"/>
  <c r="F20" i="1" s="1"/>
  <c r="E19" i="1"/>
  <c r="E18" i="1"/>
  <c r="F18" i="1" s="1"/>
  <c r="E17" i="1"/>
  <c r="F17" i="1" s="1"/>
  <c r="E16" i="1"/>
  <c r="F16" i="1" s="1"/>
  <c r="E15" i="1"/>
  <c r="F15" i="1" s="1"/>
  <c r="E14" i="1"/>
  <c r="F14" i="1" s="1"/>
  <c r="E13" i="1"/>
  <c r="E12" i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F12" i="1"/>
  <c r="F13" i="1"/>
  <c r="F22" i="1"/>
  <c r="F35" i="1"/>
  <c r="F36" i="1"/>
  <c r="F37" i="1"/>
  <c r="F38" i="1"/>
  <c r="F52" i="1"/>
  <c r="F53" i="1"/>
  <c r="F54" i="1"/>
  <c r="F55" i="1"/>
  <c r="F68" i="1"/>
  <c r="F69" i="1"/>
  <c r="F70" i="1"/>
  <c r="F71" i="1"/>
  <c r="F79" i="1"/>
  <c r="F85" i="1"/>
  <c r="F86" i="1"/>
  <c r="F95" i="1"/>
  <c r="F100" i="1"/>
  <c r="F101" i="1"/>
  <c r="F102" i="1"/>
  <c r="F111" i="1"/>
  <c r="F116" i="1"/>
  <c r="F117" i="1"/>
  <c r="F118" i="1"/>
  <c r="F119" i="1"/>
  <c r="F19" i="1"/>
  <c r="F27" i="1"/>
  <c r="F28" i="1"/>
  <c r="F51" i="1"/>
  <c r="F59" i="1"/>
  <c r="F60" i="1"/>
  <c r="F64" i="1"/>
  <c r="F67" i="1"/>
  <c r="F83" i="1"/>
  <c r="F91" i="1"/>
  <c r="F92" i="1"/>
  <c r="F96" i="1"/>
  <c r="F99" i="1"/>
  <c r="F115" i="1"/>
  <c r="F123" i="1"/>
  <c r="F124" i="1"/>
  <c r="F21" i="1"/>
  <c r="F29" i="1"/>
  <c r="F30" i="1"/>
  <c r="F34" i="1"/>
  <c r="F41" i="1"/>
  <c r="F42" i="1"/>
  <c r="F45" i="1"/>
  <c r="F46" i="1"/>
  <c r="F58" i="1"/>
  <c r="F61" i="1"/>
  <c r="F62" i="1"/>
  <c r="F77" i="1"/>
  <c r="F81" i="1"/>
  <c r="F82" i="1"/>
  <c r="F93" i="1"/>
  <c r="F94" i="1"/>
  <c r="F98" i="1"/>
  <c r="F105" i="1"/>
  <c r="F106" i="1"/>
  <c r="F109" i="1"/>
  <c r="F110" i="1"/>
  <c r="E2" i="1"/>
  <c r="F2" i="1" s="1"/>
</calcChain>
</file>

<file path=xl/sharedStrings.xml><?xml version="1.0" encoding="utf-8"?>
<sst xmlns="http://schemas.openxmlformats.org/spreadsheetml/2006/main" count="375" uniqueCount="370">
  <si>
    <t>2009M10</t>
  </si>
  <si>
    <t>2009M11</t>
  </si>
  <si>
    <t>2009M12</t>
  </si>
  <si>
    <t>2010M01</t>
  </si>
  <si>
    <t>2010M02</t>
  </si>
  <si>
    <t>90.28</t>
  </si>
  <si>
    <t>2010M03</t>
  </si>
  <si>
    <t>90.52</t>
  </si>
  <si>
    <t>2010M04</t>
  </si>
  <si>
    <t>93.38</t>
  </si>
  <si>
    <t>2010M05</t>
  </si>
  <si>
    <t>31.962</t>
  </si>
  <si>
    <t>2010M06</t>
  </si>
  <si>
    <t>32.307</t>
  </si>
  <si>
    <t>90.92</t>
  </si>
  <si>
    <t>2010M07</t>
  </si>
  <si>
    <t>32.173</t>
  </si>
  <si>
    <t>87.71</t>
  </si>
  <si>
    <t>2010M08</t>
  </si>
  <si>
    <t>31.948</t>
  </si>
  <si>
    <t>85.47</t>
  </si>
  <si>
    <t>2010M09</t>
  </si>
  <si>
    <t>31.778</t>
  </si>
  <si>
    <t>84.39</t>
  </si>
  <si>
    <t>2010M10</t>
  </si>
  <si>
    <t>30.960</t>
  </si>
  <si>
    <t>81.87</t>
  </si>
  <si>
    <t>2010M11</t>
  </si>
  <si>
    <t>30.706</t>
  </si>
  <si>
    <t>82.48</t>
  </si>
  <si>
    <t>2010M12</t>
  </si>
  <si>
    <t>30.549</t>
  </si>
  <si>
    <t>83.43</t>
  </si>
  <si>
    <t>2011M01</t>
  </si>
  <si>
    <t>29.613</t>
  </si>
  <si>
    <t>82.61</t>
  </si>
  <si>
    <t>2011M02</t>
  </si>
  <si>
    <t>29.394</t>
  </si>
  <si>
    <t>82.50</t>
  </si>
  <si>
    <t>2011M03</t>
  </si>
  <si>
    <t>29.529</t>
  </si>
  <si>
    <t>81.79</t>
  </si>
  <si>
    <t>2011M04</t>
  </si>
  <si>
    <t>29.009</t>
  </si>
  <si>
    <t>83.35</t>
  </si>
  <si>
    <t>2011M05</t>
  </si>
  <si>
    <t>28.814</t>
  </si>
  <si>
    <t>81.26</t>
  </si>
  <si>
    <t>2011M06</t>
  </si>
  <si>
    <t>28.873</t>
  </si>
  <si>
    <t>80.51</t>
  </si>
  <si>
    <t>2011M07</t>
  </si>
  <si>
    <t>28.859</t>
  </si>
  <si>
    <t>79.40</t>
  </si>
  <si>
    <t>2011M08</t>
  </si>
  <si>
    <t>28.998</t>
  </si>
  <si>
    <t>77.22</t>
  </si>
  <si>
    <t>2011M09</t>
  </si>
  <si>
    <t>29.745</t>
  </si>
  <si>
    <t>76.84</t>
  </si>
  <si>
    <t>2011M10</t>
  </si>
  <si>
    <t>30.279</t>
  </si>
  <si>
    <t>76.77</t>
  </si>
  <si>
    <t>2011M11</t>
  </si>
  <si>
    <t>30.242</t>
  </si>
  <si>
    <t>77.58</t>
  </si>
  <si>
    <t>2011M12</t>
  </si>
  <si>
    <t>30.272</t>
  </si>
  <si>
    <t>77.86</t>
  </si>
  <si>
    <t>2012M01</t>
  </si>
  <si>
    <t>30.061</t>
  </si>
  <si>
    <t>76.98</t>
  </si>
  <si>
    <t>2012M02</t>
  </si>
  <si>
    <t>29.563</t>
  </si>
  <si>
    <t>78.39</t>
  </si>
  <si>
    <t>2012M03</t>
  </si>
  <si>
    <t>29.546</t>
  </si>
  <si>
    <t>82.43</t>
  </si>
  <si>
    <t>2012M04</t>
  </si>
  <si>
    <t>29.504</t>
  </si>
  <si>
    <t>81.49</t>
  </si>
  <si>
    <t>2012M05</t>
  </si>
  <si>
    <t>29.523</t>
  </si>
  <si>
    <t>79.72</t>
  </si>
  <si>
    <t>2012M06</t>
  </si>
  <si>
    <t>29.948</t>
  </si>
  <si>
    <t>79.32</t>
  </si>
  <si>
    <t>2012M07</t>
  </si>
  <si>
    <t>30.007</t>
  </si>
  <si>
    <t>78.98</t>
  </si>
  <si>
    <t>2012M08</t>
  </si>
  <si>
    <t>29.988</t>
  </si>
  <si>
    <t>78.66</t>
  </si>
  <si>
    <t>2012M09</t>
  </si>
  <si>
    <t>29.608</t>
  </si>
  <si>
    <t>78.17</t>
  </si>
  <si>
    <t>2012M10</t>
  </si>
  <si>
    <t>29.335</t>
  </si>
  <si>
    <t>78.97</t>
  </si>
  <si>
    <t>2012M11</t>
  </si>
  <si>
    <t>29.185</t>
  </si>
  <si>
    <t>80.79</t>
  </si>
  <si>
    <t>2012M12</t>
  </si>
  <si>
    <t>29.119</t>
  </si>
  <si>
    <t>83.58</t>
  </si>
  <si>
    <t>2013M01</t>
  </si>
  <si>
    <t>29.184</t>
  </si>
  <si>
    <t>89.16</t>
  </si>
  <si>
    <t>2013M02</t>
  </si>
  <si>
    <t>29.665</t>
  </si>
  <si>
    <t>93.17</t>
  </si>
  <si>
    <t>2013M03</t>
  </si>
  <si>
    <t>29.798</t>
  </si>
  <si>
    <t>94.79</t>
  </si>
  <si>
    <t>2013M04</t>
  </si>
  <si>
    <t>29.880</t>
  </si>
  <si>
    <t>97.70</t>
  </si>
  <si>
    <t>2013M05</t>
  </si>
  <si>
    <t>29.888</t>
  </si>
  <si>
    <t>101.08</t>
  </si>
  <si>
    <t>2013M06</t>
  </si>
  <si>
    <t>30.089</t>
  </si>
  <si>
    <t>97.33</t>
  </si>
  <si>
    <t>2013M07</t>
  </si>
  <si>
    <t>30.041</t>
  </si>
  <si>
    <t>99.75</t>
  </si>
  <si>
    <t>2013M08</t>
  </si>
  <si>
    <t>30.029</t>
  </si>
  <si>
    <t>97.87</t>
  </si>
  <si>
    <t>2013M09</t>
  </si>
  <si>
    <t>29.782</t>
  </si>
  <si>
    <t>99.28</t>
  </si>
  <si>
    <t>2013M10</t>
  </si>
  <si>
    <t>29.492</t>
  </si>
  <si>
    <t>97.82</t>
  </si>
  <si>
    <t>2013M11</t>
  </si>
  <si>
    <t>29.589</t>
  </si>
  <si>
    <t>99.79</t>
  </si>
  <si>
    <t>2013M12</t>
  </si>
  <si>
    <t>29.813</t>
  </si>
  <si>
    <t>103.41</t>
  </si>
  <si>
    <t>2014M01</t>
  </si>
  <si>
    <t>30.264</t>
  </si>
  <si>
    <t>103.94</t>
  </si>
  <si>
    <t>2014M02</t>
  </si>
  <si>
    <t>30.377</t>
  </si>
  <si>
    <t>102.16</t>
  </si>
  <si>
    <t>2014M03</t>
  </si>
  <si>
    <t>30.446</t>
  </si>
  <si>
    <t>102.27</t>
  </si>
  <si>
    <t>2014M04</t>
  </si>
  <si>
    <t>30.268</t>
  </si>
  <si>
    <t>102.56</t>
  </si>
  <si>
    <t>2014M05</t>
  </si>
  <si>
    <t>30.177</t>
  </si>
  <si>
    <t>101.79</t>
  </si>
  <si>
    <t>2014M06</t>
  </si>
  <si>
    <t>30.043</t>
  </si>
  <si>
    <t>102.05</t>
  </si>
  <si>
    <t>2014M07</t>
  </si>
  <si>
    <t>30.000</t>
  </si>
  <si>
    <t>102.78</t>
  </si>
  <si>
    <t>2014M08</t>
  </si>
  <si>
    <t>30.037</t>
  </si>
  <si>
    <t>102.96</t>
  </si>
  <si>
    <t>2014M09</t>
  </si>
  <si>
    <t>30.155</t>
  </si>
  <si>
    <t>107.24</t>
  </si>
  <si>
    <t>2014M10</t>
  </si>
  <si>
    <t>30.432</t>
  </si>
  <si>
    <t>108.06</t>
  </si>
  <si>
    <t>2014M11</t>
  </si>
  <si>
    <t>30.793</t>
  </si>
  <si>
    <t>116.21</t>
  </si>
  <si>
    <t>2014M12</t>
  </si>
  <si>
    <t>31.451</t>
  </si>
  <si>
    <t>119.31</t>
  </si>
  <si>
    <t>2015M01</t>
  </si>
  <si>
    <t>31.685</t>
  </si>
  <si>
    <t>118.31</t>
  </si>
  <si>
    <t>2015M02</t>
  </si>
  <si>
    <t>31.566</t>
  </si>
  <si>
    <t>118.56</t>
  </si>
  <si>
    <t>2015M03</t>
  </si>
  <si>
    <t>31.526</t>
  </si>
  <si>
    <t>120.39</t>
  </si>
  <si>
    <t>2015M04</t>
  </si>
  <si>
    <t>31.130</t>
  </si>
  <si>
    <t>119.55</t>
  </si>
  <si>
    <t>2015M05</t>
  </si>
  <si>
    <t>30.717</t>
  </si>
  <si>
    <t>120.69</t>
  </si>
  <si>
    <t>2015M06</t>
  </si>
  <si>
    <t>31.113</t>
  </si>
  <si>
    <t>123.75</t>
  </si>
  <si>
    <t>2015M07</t>
  </si>
  <si>
    <t>31.343</t>
  </si>
  <si>
    <t>123.24</t>
  </si>
  <si>
    <t>2015M08</t>
  </si>
  <si>
    <t>32.387</t>
  </si>
  <si>
    <t>123.23</t>
  </si>
  <si>
    <t>2015M09</t>
  </si>
  <si>
    <t>32.889</t>
  </si>
  <si>
    <t>120.29</t>
  </si>
  <si>
    <t>2015M10</t>
  </si>
  <si>
    <t>32.727</t>
  </si>
  <si>
    <t>120.06</t>
  </si>
  <si>
    <t>2015M11</t>
  </si>
  <si>
    <t>32.802</t>
  </si>
  <si>
    <t>122.53</t>
  </si>
  <si>
    <t>2015M12</t>
  </si>
  <si>
    <t>33.006</t>
  </si>
  <si>
    <t>121.92</t>
  </si>
  <si>
    <t>2016M01</t>
  </si>
  <si>
    <t>33.644</t>
  </si>
  <si>
    <t>2016M02</t>
  </si>
  <si>
    <t>115.09</t>
  </si>
  <si>
    <t>2016M03</t>
  </si>
  <si>
    <t>32.855</t>
  </si>
  <si>
    <t>113.07</t>
  </si>
  <si>
    <t>2016M04</t>
  </si>
  <si>
    <t>32.355</t>
  </si>
  <si>
    <t>109.97</t>
  </si>
  <si>
    <t>2016M05</t>
  </si>
  <si>
    <t>32.573</t>
  </si>
  <si>
    <t>109.06</t>
  </si>
  <si>
    <t>2016M06</t>
  </si>
  <si>
    <t>32.400</t>
  </si>
  <si>
    <t>105.49</t>
  </si>
  <si>
    <t>2016M07</t>
  </si>
  <si>
    <t>32.124</t>
  </si>
  <si>
    <t>103.97</t>
  </si>
  <si>
    <t>2016M08</t>
  </si>
  <si>
    <t>31.577</t>
  </si>
  <si>
    <t>101.27</t>
  </si>
  <si>
    <t>2016M09</t>
  </si>
  <si>
    <t>31.483</t>
  </si>
  <si>
    <t>101.94</t>
  </si>
  <si>
    <t>2016M10</t>
  </si>
  <si>
    <t>31.571</t>
  </si>
  <si>
    <t>103.82</t>
  </si>
  <si>
    <t>2016M11</t>
  </si>
  <si>
    <t>31.758</t>
  </si>
  <si>
    <t>107.62</t>
  </si>
  <si>
    <t>2016M12</t>
  </si>
  <si>
    <t>32.012</t>
  </si>
  <si>
    <t>115.90</t>
  </si>
  <si>
    <t>2017M01</t>
  </si>
  <si>
    <t>31.742</t>
  </si>
  <si>
    <t>114.75</t>
  </si>
  <si>
    <t>2017M02</t>
  </si>
  <si>
    <t>30.898</t>
  </si>
  <si>
    <t>2017M03</t>
  </si>
  <si>
    <t>30.658</t>
  </si>
  <si>
    <t>113.01</t>
  </si>
  <si>
    <t>2017M04</t>
  </si>
  <si>
    <t>30.390</t>
  </si>
  <si>
    <t>110.06</t>
  </si>
  <si>
    <t>2017M05</t>
  </si>
  <si>
    <t>30.156</t>
  </si>
  <si>
    <t>112.26</t>
  </si>
  <si>
    <t>2017M06</t>
  </si>
  <si>
    <t>30.265</t>
  </si>
  <si>
    <t>110.91</t>
  </si>
  <si>
    <t>2017M07</t>
  </si>
  <si>
    <t>30.435</t>
  </si>
  <si>
    <t>112.39</t>
  </si>
  <si>
    <t>2017M08</t>
  </si>
  <si>
    <t>30.263</t>
  </si>
  <si>
    <t>109.91</t>
  </si>
  <si>
    <t>2017M09</t>
  </si>
  <si>
    <t>30.150</t>
  </si>
  <si>
    <t>110.72</t>
  </si>
  <si>
    <t>2017M10</t>
  </si>
  <si>
    <t>30.259</t>
  </si>
  <si>
    <t>112.96</t>
  </si>
  <si>
    <t>2017M11</t>
  </si>
  <si>
    <t>30.110</t>
  </si>
  <si>
    <t>112.99</t>
  </si>
  <si>
    <t>2017M12</t>
  </si>
  <si>
    <t>29.983</t>
  </si>
  <si>
    <t>112.95</t>
  </si>
  <si>
    <t>2018M01</t>
  </si>
  <si>
    <t>29.440</t>
  </si>
  <si>
    <t>110.77</t>
  </si>
  <si>
    <t>2018M02</t>
  </si>
  <si>
    <t>29.308</t>
  </si>
  <si>
    <t>107.90</t>
  </si>
  <si>
    <t>2018M03</t>
  </si>
  <si>
    <t>29.216</t>
  </si>
  <si>
    <t>106.00</t>
  </si>
  <si>
    <t>2018M04</t>
  </si>
  <si>
    <t>107.52</t>
  </si>
  <si>
    <t>2018M05</t>
  </si>
  <si>
    <t>29.878</t>
  </si>
  <si>
    <t>109.70</t>
  </si>
  <si>
    <t>2018M06</t>
  </si>
  <si>
    <t>30.080</t>
  </si>
  <si>
    <t>110.03</t>
  </si>
  <si>
    <t>2018M07</t>
  </si>
  <si>
    <t>30.565</t>
  </si>
  <si>
    <t>111.42</t>
  </si>
  <si>
    <t>2018M08</t>
  </si>
  <si>
    <t>30.729</t>
  </si>
  <si>
    <t>111.06</t>
  </si>
  <si>
    <t>2018M09</t>
  </si>
  <si>
    <t>30.755</t>
  </si>
  <si>
    <t>111.95</t>
  </si>
  <si>
    <t>2018M10</t>
  </si>
  <si>
    <t>30.904</t>
  </si>
  <si>
    <t>112.78</t>
  </si>
  <si>
    <t>2018M11</t>
  </si>
  <si>
    <t>30.857</t>
  </si>
  <si>
    <t>113.38</t>
  </si>
  <si>
    <t>2018M12</t>
  </si>
  <si>
    <t>30.826</t>
  </si>
  <si>
    <t>112.57</t>
  </si>
  <si>
    <t>2019M01</t>
  </si>
  <si>
    <t>30.830</t>
  </si>
  <si>
    <t>108.92</t>
  </si>
  <si>
    <t>2019M02</t>
  </si>
  <si>
    <t>30.816</t>
  </si>
  <si>
    <t>110.35</t>
  </si>
  <si>
    <t>2019M03</t>
  </si>
  <si>
    <t>111.21</t>
  </si>
  <si>
    <t>2019M04</t>
  </si>
  <si>
    <t>30.861</t>
  </si>
  <si>
    <t>111.66</t>
  </si>
  <si>
    <t>2019M05</t>
  </si>
  <si>
    <t>31.246</t>
  </si>
  <si>
    <t>109.85</t>
  </si>
  <si>
    <t>2019M06</t>
  </si>
  <si>
    <t>31.335</t>
  </si>
  <si>
    <t>2019M07</t>
  </si>
  <si>
    <t>31.089</t>
  </si>
  <si>
    <t>108.24</t>
  </si>
  <si>
    <t>2019M08</t>
  </si>
  <si>
    <t>31.413</t>
  </si>
  <si>
    <t>106.27</t>
  </si>
  <si>
    <t>2019M09</t>
  </si>
  <si>
    <t>31.142</t>
  </si>
  <si>
    <t>107.48</t>
  </si>
  <si>
    <t>2019M10</t>
  </si>
  <si>
    <t>108.12</t>
  </si>
  <si>
    <t>2019M11</t>
  </si>
  <si>
    <t>30.479</t>
  </si>
  <si>
    <t>108.79</t>
  </si>
  <si>
    <t>2019M12</t>
  </si>
  <si>
    <r>
      <rPr>
        <b/>
        <sz val="11"/>
        <rFont val="細明體"/>
        <family val="3"/>
        <charset val="136"/>
      </rPr>
      <t>日圓</t>
    </r>
    <r>
      <rPr>
        <b/>
        <sz val="11"/>
        <rFont val="Calibri"/>
        <family val="2"/>
      </rPr>
      <t>USD/</t>
    </r>
    <r>
      <rPr>
        <b/>
        <sz val="11"/>
        <rFont val="Calibri"/>
      </rPr>
      <t>JPY</t>
    </r>
    <phoneticPr fontId="2" type="noConversion"/>
  </si>
  <si>
    <r>
      <rPr>
        <b/>
        <sz val="11"/>
        <rFont val="細明體"/>
        <family val="3"/>
        <charset val="136"/>
      </rPr>
      <t>新台幣</t>
    </r>
    <r>
      <rPr>
        <b/>
        <sz val="11"/>
        <rFont val="Calibri"/>
        <family val="2"/>
      </rPr>
      <t>USD/</t>
    </r>
    <r>
      <rPr>
        <b/>
        <sz val="11"/>
        <rFont val="Calibri"/>
      </rPr>
      <t>T</t>
    </r>
    <r>
      <rPr>
        <b/>
        <sz val="11"/>
        <rFont val="Calibri"/>
        <family val="2"/>
      </rPr>
      <t>W</t>
    </r>
    <r>
      <rPr>
        <b/>
        <sz val="11"/>
        <rFont val="Calibri"/>
      </rPr>
      <t>D</t>
    </r>
    <phoneticPr fontId="2" type="noConversion"/>
  </si>
  <si>
    <r>
      <rPr>
        <b/>
        <sz val="11"/>
        <rFont val="細明體"/>
        <family val="3"/>
        <charset val="136"/>
      </rPr>
      <t>日圓兌新台幣</t>
    </r>
    <r>
      <rPr>
        <b/>
        <sz val="11"/>
        <rFont val="Calibri"/>
        <family val="2"/>
      </rPr>
      <t>JPY/NTD(FX)</t>
    </r>
    <phoneticPr fontId="2" type="noConversion"/>
  </si>
  <si>
    <t>t</t>
    <phoneticPr fontId="2" type="noConversion"/>
  </si>
  <si>
    <r>
      <rPr>
        <b/>
        <sz val="11"/>
        <rFont val="細明體"/>
        <family val="3"/>
        <charset val="136"/>
      </rPr>
      <t>期間</t>
    </r>
    <r>
      <rPr>
        <b/>
        <sz val="11"/>
        <rFont val="Calibri"/>
        <family val="2"/>
      </rPr>
      <t>t</t>
    </r>
    <phoneticPr fontId="2" type="noConversion"/>
  </si>
  <si>
    <t>ln(FX)</t>
    <phoneticPr fontId="2" type="noConversion"/>
  </si>
  <si>
    <t>Tourist</t>
    <phoneticPr fontId="2" type="noConversion"/>
  </si>
  <si>
    <t>JIPI</t>
    <phoneticPr fontId="2" type="noConversion"/>
  </si>
  <si>
    <t>ln(JIPI)</t>
    <phoneticPr fontId="2" type="noConversion"/>
  </si>
  <si>
    <t>OilPrice</t>
    <phoneticPr fontId="2" type="noConversion"/>
  </si>
  <si>
    <t>ln(OilPrice)</t>
    <phoneticPr fontId="2" type="noConversion"/>
  </si>
  <si>
    <t>Month1</t>
    <phoneticPr fontId="2" type="noConversion"/>
  </si>
  <si>
    <t>Month2</t>
    <phoneticPr fontId="2" type="noConversion"/>
  </si>
  <si>
    <t>Month3</t>
    <phoneticPr fontId="2" type="noConversion"/>
  </si>
  <si>
    <t>Month4</t>
    <phoneticPr fontId="2" type="noConversion"/>
  </si>
  <si>
    <t>Month5</t>
    <phoneticPr fontId="2" type="noConversion"/>
  </si>
  <si>
    <t>Month6</t>
    <phoneticPr fontId="2" type="noConversion"/>
  </si>
  <si>
    <t>Month7</t>
    <phoneticPr fontId="2" type="noConversion"/>
  </si>
  <si>
    <t>Month8</t>
    <phoneticPr fontId="2" type="noConversion"/>
  </si>
  <si>
    <t>Month9</t>
    <phoneticPr fontId="2" type="noConversion"/>
  </si>
  <si>
    <t>Month10</t>
    <phoneticPr fontId="2" type="noConversion"/>
  </si>
  <si>
    <t>Month11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</si>
</sst>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_);[Red]\(0.000\)"/>
  </numFmts>
  <fonts count="7" x14ac:knownFonts="1">
    <font>
      <sz val="11"/>
      <name val="Calibri"/>
    </font>
    <font>
      <b/>
      <sz val="11"/>
      <name val="Calibri"/>
    </font>
    <font>
      <sz val="9"/>
      <name val="細明體"/>
      <family val="3"/>
      <charset val="136"/>
    </font>
    <font>
      <b/>
      <sz val="11"/>
      <name val="細明體"/>
      <family val="3"/>
      <charset val="136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8"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5" fillId="0" borderId="0" xfId="0" applyFont="1" applyFill="1" applyBorder="1"/>
    <xf numFmtId="3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7" fontId="0" fillId="0" borderId="0" xfId="0" applyNumberFormat="1" applyFont="1" applyFill="1" applyBorder="1" applyAlignment="1">
      <alignment horizontal="right"/>
    </xf>
  </cellXfs>
  <cellStyles count="2">
    <cellStyle name="一般" xfId="0" builtinId="0"/>
    <cellStyle name="一般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4"/>
  <sheetViews>
    <sheetView tabSelected="1" topLeftCell="A97" workbookViewId="0">
      <selection activeCell="T25" sqref="T25"/>
    </sheetView>
  </sheetViews>
  <sheetFormatPr defaultRowHeight="14.5" x14ac:dyDescent="0.35"/>
  <cols>
    <col min="1" max="1" width="30" customWidth="1"/>
    <col min="2" max="2" width="7.7265625" bestFit="1" customWidth="1"/>
    <col min="3" max="3" width="16.36328125" bestFit="1" customWidth="1"/>
    <col min="4" max="4" width="24" customWidth="1"/>
    <col min="5" max="5" width="26.08984375" customWidth="1"/>
    <col min="9" max="9" width="22.90625" customWidth="1"/>
    <col min="10" max="10" width="12.36328125" customWidth="1"/>
    <col min="12" max="12" width="8.7265625" customWidth="1"/>
  </cols>
  <sheetData>
    <row r="1" spans="1:23" ht="15" x14ac:dyDescent="0.35">
      <c r="A1" s="2" t="s">
        <v>352</v>
      </c>
      <c r="B1" s="2" t="s">
        <v>354</v>
      </c>
      <c r="C1" s="2" t="s">
        <v>349</v>
      </c>
      <c r="D1" s="2" t="s">
        <v>348</v>
      </c>
      <c r="E1" s="2" t="s">
        <v>350</v>
      </c>
      <c r="F1" s="2" t="s">
        <v>353</v>
      </c>
      <c r="G1" s="2" t="s">
        <v>355</v>
      </c>
      <c r="H1" s="2" t="s">
        <v>356</v>
      </c>
      <c r="I1" s="2" t="s">
        <v>357</v>
      </c>
      <c r="J1" s="2" t="s">
        <v>358</v>
      </c>
      <c r="K1" s="2" t="s">
        <v>351</v>
      </c>
      <c r="L1" s="2" t="s">
        <v>359</v>
      </c>
      <c r="M1" s="2" t="s">
        <v>360</v>
      </c>
      <c r="N1" s="2" t="s">
        <v>361</v>
      </c>
      <c r="O1" s="2" t="s">
        <v>362</v>
      </c>
      <c r="P1" s="2" t="s">
        <v>363</v>
      </c>
      <c r="Q1" s="2" t="s">
        <v>364</v>
      </c>
      <c r="R1" s="2" t="s">
        <v>365</v>
      </c>
      <c r="S1" s="2" t="s">
        <v>366</v>
      </c>
      <c r="T1" s="2" t="s">
        <v>367</v>
      </c>
      <c r="U1" s="2" t="s">
        <v>368</v>
      </c>
      <c r="V1" s="2" t="s">
        <v>369</v>
      </c>
      <c r="W1" s="2"/>
    </row>
    <row r="2" spans="1:23" x14ac:dyDescent="0.35">
      <c r="A2" s="1" t="s">
        <v>0</v>
      </c>
      <c r="B2" s="4">
        <v>58647</v>
      </c>
      <c r="C2" s="7">
        <v>32.33</v>
      </c>
      <c r="D2" s="6">
        <v>90.29</v>
      </c>
      <c r="E2" s="3">
        <f>C2/D2</f>
        <v>0.35806844611806399</v>
      </c>
      <c r="F2">
        <f>LN(E2)</f>
        <v>-1.0270311205820462</v>
      </c>
      <c r="G2">
        <v>98.05095</v>
      </c>
      <c r="H2">
        <f>LN(G2)</f>
        <v>4.585487241529635</v>
      </c>
      <c r="I2">
        <v>72.968636363636364</v>
      </c>
      <c r="J2">
        <f>LN(I2)</f>
        <v>4.2900297099728784</v>
      </c>
      <c r="K2">
        <v>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</row>
    <row r="3" spans="1:23" x14ac:dyDescent="0.35">
      <c r="A3" s="1" t="s">
        <v>1</v>
      </c>
      <c r="B3" s="4">
        <v>54025</v>
      </c>
      <c r="C3" s="7">
        <v>32.337000000000003</v>
      </c>
      <c r="D3" s="5">
        <v>89.19</v>
      </c>
      <c r="E3" s="3">
        <f t="shared" ref="E3:E66" si="0">C3/D3</f>
        <v>0.36256306760847634</v>
      </c>
      <c r="F3">
        <f t="shared" ref="F3:F66" si="1">LN(E3)</f>
        <v>-1.0145568402105147</v>
      </c>
      <c r="G3">
        <v>98.975960000000001</v>
      </c>
      <c r="H3">
        <f t="shared" ref="H3:H66" si="2">LN(G3)</f>
        <v>4.5948769923642008</v>
      </c>
      <c r="I3">
        <v>76.936666666666667</v>
      </c>
      <c r="J3">
        <f t="shared" ref="J3:J66" si="3">LN(I3)</f>
        <v>4.3429825725835496</v>
      </c>
      <c r="K3">
        <f>K2+1</f>
        <v>-1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</row>
    <row r="4" spans="1:23" x14ac:dyDescent="0.35">
      <c r="A4" s="1" t="s">
        <v>2</v>
      </c>
      <c r="B4" s="4">
        <v>59668</v>
      </c>
      <c r="C4" s="7">
        <v>32.279000000000003</v>
      </c>
      <c r="D4" s="5">
        <v>89.56</v>
      </c>
      <c r="E4" s="3">
        <f t="shared" si="0"/>
        <v>0.36041759714158111</v>
      </c>
      <c r="F4">
        <f t="shared" si="1"/>
        <v>-1.0204919277429876</v>
      </c>
      <c r="G4">
        <v>100.72320000000001</v>
      </c>
      <c r="H4">
        <f t="shared" si="2"/>
        <v>4.6123761604784175</v>
      </c>
      <c r="I4">
        <v>74.789565217391299</v>
      </c>
      <c r="J4">
        <f t="shared" si="3"/>
        <v>4.3146783728077684</v>
      </c>
      <c r="K4">
        <f t="shared" ref="K4:K67" si="4">K3+1</f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3" x14ac:dyDescent="0.35">
      <c r="A5" s="1" t="s">
        <v>3</v>
      </c>
      <c r="B5" s="4">
        <v>56587</v>
      </c>
      <c r="C5" s="7">
        <v>31.896000000000001</v>
      </c>
      <c r="D5" s="6">
        <v>91.16</v>
      </c>
      <c r="E5" s="3">
        <f t="shared" si="0"/>
        <v>0.34989030276437039</v>
      </c>
      <c r="F5">
        <f t="shared" si="1"/>
        <v>-1.0501355942984294</v>
      </c>
      <c r="G5">
        <v>92.398120000000006</v>
      </c>
      <c r="H5">
        <f t="shared" si="2"/>
        <v>4.5261066321203032</v>
      </c>
      <c r="I5">
        <v>76.602380952380955</v>
      </c>
      <c r="J5">
        <f t="shared" si="3"/>
        <v>4.3386281591927363</v>
      </c>
      <c r="K5">
        <f t="shared" si="4"/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3" x14ac:dyDescent="0.35">
      <c r="A6" s="1" t="s">
        <v>4</v>
      </c>
      <c r="B6" s="4">
        <v>46438</v>
      </c>
      <c r="C6" s="7">
        <v>32.094000000000001</v>
      </c>
      <c r="D6" s="6" t="s">
        <v>5</v>
      </c>
      <c r="E6" s="3">
        <f t="shared" si="0"/>
        <v>0.35549401860877272</v>
      </c>
      <c r="F6">
        <f t="shared" si="1"/>
        <v>-1.0342468551721669</v>
      </c>
      <c r="G6">
        <v>97.537059999999997</v>
      </c>
      <c r="H6">
        <f t="shared" si="2"/>
        <v>4.580232408347225</v>
      </c>
      <c r="I6">
        <v>73.903000000000006</v>
      </c>
      <c r="J6">
        <f t="shared" si="3"/>
        <v>4.3027534225293733</v>
      </c>
      <c r="K6">
        <f t="shared" si="4"/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3" x14ac:dyDescent="0.35">
      <c r="A7" s="1" t="s">
        <v>6</v>
      </c>
      <c r="B7" s="4">
        <v>76518</v>
      </c>
      <c r="C7" s="7">
        <v>31.876999999999999</v>
      </c>
      <c r="D7" s="6" t="s">
        <v>7</v>
      </c>
      <c r="E7" s="3">
        <f t="shared" si="0"/>
        <v>0.35215422006186481</v>
      </c>
      <c r="F7">
        <f t="shared" si="1"/>
        <v>-1.0436860741570984</v>
      </c>
      <c r="G7">
        <v>111.6177</v>
      </c>
      <c r="H7">
        <f t="shared" si="2"/>
        <v>4.7150796395217567</v>
      </c>
      <c r="I7">
        <v>79.51913043478261</v>
      </c>
      <c r="J7">
        <f t="shared" si="3"/>
        <v>4.3759976271122545</v>
      </c>
      <c r="K7">
        <f t="shared" si="4"/>
        <v>3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3" x14ac:dyDescent="0.35">
      <c r="A8" s="1" t="s">
        <v>8</v>
      </c>
      <c r="B8" s="4">
        <v>48300</v>
      </c>
      <c r="C8" s="7">
        <v>31.518999999999998</v>
      </c>
      <c r="D8" s="6" t="s">
        <v>9</v>
      </c>
      <c r="E8" s="3">
        <f t="shared" si="0"/>
        <v>0.33753480402655817</v>
      </c>
      <c r="F8">
        <f t="shared" si="1"/>
        <v>-1.086086650944714</v>
      </c>
      <c r="G8">
        <v>98.667619999999999</v>
      </c>
      <c r="H8">
        <f t="shared" si="2"/>
        <v>4.5917568277714347</v>
      </c>
      <c r="I8">
        <v>85.156363636363636</v>
      </c>
      <c r="J8">
        <f t="shared" si="3"/>
        <v>4.4444891387420986</v>
      </c>
      <c r="K8">
        <f t="shared" si="4"/>
        <v>4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3" x14ac:dyDescent="0.35">
      <c r="A9" s="1" t="s">
        <v>10</v>
      </c>
      <c r="B9" s="4">
        <v>55305</v>
      </c>
      <c r="C9" s="7" t="s">
        <v>11</v>
      </c>
      <c r="D9" s="6">
        <v>91.77</v>
      </c>
      <c r="E9" s="3">
        <f t="shared" si="0"/>
        <v>0.34828375286041191</v>
      </c>
      <c r="F9">
        <f t="shared" si="1"/>
        <v>-1.0547377496680046</v>
      </c>
      <c r="G9">
        <v>94.453689999999995</v>
      </c>
      <c r="H9">
        <f t="shared" si="2"/>
        <v>4.5481096614744736</v>
      </c>
      <c r="I9">
        <v>76.132380952380956</v>
      </c>
      <c r="J9">
        <f t="shared" si="3"/>
        <v>4.3324736796534662</v>
      </c>
      <c r="K9">
        <f t="shared" si="4"/>
        <v>5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3" x14ac:dyDescent="0.35">
      <c r="A10" s="1" t="s">
        <v>12</v>
      </c>
      <c r="B10" s="4">
        <v>50558</v>
      </c>
      <c r="C10" s="7" t="s">
        <v>13</v>
      </c>
      <c r="D10" s="6" t="s">
        <v>14</v>
      </c>
      <c r="E10" s="3">
        <f t="shared" si="0"/>
        <v>0.35533435987681478</v>
      </c>
      <c r="F10">
        <f t="shared" si="1"/>
        <v>-1.0346960739694888</v>
      </c>
      <c r="G10">
        <v>106.2732</v>
      </c>
      <c r="H10">
        <f t="shared" si="2"/>
        <v>4.6660131369101689</v>
      </c>
      <c r="I10">
        <v>75.24636363636364</v>
      </c>
      <c r="J10">
        <f t="shared" si="3"/>
        <v>4.3207675786921005</v>
      </c>
      <c r="K10">
        <f t="shared" si="4"/>
        <v>6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3" x14ac:dyDescent="0.35">
      <c r="A11" s="1" t="s">
        <v>15</v>
      </c>
      <c r="B11" s="4">
        <v>46249</v>
      </c>
      <c r="C11" s="7" t="s">
        <v>16</v>
      </c>
      <c r="D11" s="6" t="s">
        <v>17</v>
      </c>
      <c r="E11" s="3">
        <f t="shared" si="0"/>
        <v>0.36681108197468937</v>
      </c>
      <c r="F11">
        <f t="shared" si="1"/>
        <v>-1.0029083264752765</v>
      </c>
      <c r="G11">
        <v>108.0205</v>
      </c>
      <c r="H11">
        <f t="shared" si="2"/>
        <v>4.6823210239264821</v>
      </c>
      <c r="I11">
        <v>75.194999999999993</v>
      </c>
      <c r="J11">
        <f t="shared" si="3"/>
        <v>4.3200847393835762</v>
      </c>
      <c r="K11">
        <f t="shared" si="4"/>
        <v>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3" x14ac:dyDescent="0.35">
      <c r="A12" s="1" t="s">
        <v>18</v>
      </c>
      <c r="B12" s="4">
        <v>57450</v>
      </c>
      <c r="C12" s="7" t="s">
        <v>19</v>
      </c>
      <c r="D12" s="6" t="s">
        <v>20</v>
      </c>
      <c r="E12" s="3">
        <f t="shared" si="0"/>
        <v>0.37379197379197382</v>
      </c>
      <c r="F12">
        <f t="shared" si="1"/>
        <v>-0.98405585612278401</v>
      </c>
      <c r="G12">
        <v>99.489850000000004</v>
      </c>
      <c r="H12">
        <f t="shared" si="2"/>
        <v>4.6000556289109165</v>
      </c>
      <c r="I12">
        <v>76.891818181818181</v>
      </c>
      <c r="J12">
        <f t="shared" si="3"/>
        <v>4.3423994752961592</v>
      </c>
      <c r="K12">
        <f t="shared" si="4"/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3" x14ac:dyDescent="0.35">
      <c r="A13" s="1" t="s">
        <v>21</v>
      </c>
      <c r="B13" s="4">
        <v>58608</v>
      </c>
      <c r="C13" s="7" t="s">
        <v>22</v>
      </c>
      <c r="D13" s="6" t="s">
        <v>23</v>
      </c>
      <c r="E13" s="3">
        <f t="shared" si="0"/>
        <v>0.37656120393411541</v>
      </c>
      <c r="F13">
        <f t="shared" si="1"/>
        <v>-0.97667468470369989</v>
      </c>
      <c r="G13">
        <v>111.00109999999999</v>
      </c>
      <c r="H13">
        <f t="shared" si="2"/>
        <v>4.7095401111731414</v>
      </c>
      <c r="I13">
        <v>77.938181818181818</v>
      </c>
      <c r="J13">
        <f t="shared" si="3"/>
        <v>4.3559159716705613</v>
      </c>
      <c r="K13">
        <f t="shared" si="4"/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3" x14ac:dyDescent="0.35">
      <c r="A14" s="1" t="s">
        <v>24</v>
      </c>
      <c r="B14" s="4">
        <v>60672</v>
      </c>
      <c r="C14" s="7" t="s">
        <v>25</v>
      </c>
      <c r="D14" s="6" t="s">
        <v>26</v>
      </c>
      <c r="E14" s="3">
        <f t="shared" si="0"/>
        <v>0.37816049835104432</v>
      </c>
      <c r="F14">
        <f t="shared" si="1"/>
        <v>-0.97243657466683053</v>
      </c>
      <c r="G14">
        <v>102.5732</v>
      </c>
      <c r="H14">
        <f t="shared" si="2"/>
        <v>4.6305766900387688</v>
      </c>
      <c r="I14">
        <v>83.338571428571427</v>
      </c>
      <c r="J14">
        <f t="shared" si="3"/>
        <v>4.422911484361566</v>
      </c>
      <c r="K14">
        <f t="shared" si="4"/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3" x14ac:dyDescent="0.35">
      <c r="A15" s="1" t="s">
        <v>27</v>
      </c>
      <c r="B15" s="4">
        <v>73477</v>
      </c>
      <c r="C15" s="7" t="s">
        <v>28</v>
      </c>
      <c r="D15" s="6" t="s">
        <v>29</v>
      </c>
      <c r="E15" s="3">
        <f t="shared" si="0"/>
        <v>0.3722841901066925</v>
      </c>
      <c r="F15">
        <f t="shared" si="1"/>
        <v>-0.98809776447199726</v>
      </c>
      <c r="G15">
        <v>105.5538</v>
      </c>
      <c r="H15">
        <f t="shared" si="2"/>
        <v>4.6592207755411135</v>
      </c>
      <c r="I15">
        <v>85.800909090909087</v>
      </c>
      <c r="J15">
        <f t="shared" si="3"/>
        <v>4.4520296019029262</v>
      </c>
      <c r="K15">
        <f t="shared" si="4"/>
        <v>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3" x14ac:dyDescent="0.35">
      <c r="A16" s="1" t="s">
        <v>30</v>
      </c>
      <c r="B16" s="4">
        <v>71399</v>
      </c>
      <c r="C16" s="7" t="s">
        <v>31</v>
      </c>
      <c r="D16" s="6" t="s">
        <v>32</v>
      </c>
      <c r="E16" s="3">
        <f t="shared" si="0"/>
        <v>0.36616325062927002</v>
      </c>
      <c r="F16">
        <f t="shared" si="1"/>
        <v>-1.0046760050563452</v>
      </c>
      <c r="G16">
        <v>105.8621</v>
      </c>
      <c r="H16">
        <f t="shared" si="2"/>
        <v>4.662137303754335</v>
      </c>
      <c r="I16">
        <v>91.96</v>
      </c>
      <c r="J16">
        <f t="shared" si="3"/>
        <v>4.5213536998949806</v>
      </c>
      <c r="K16">
        <f t="shared" si="4"/>
        <v>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s="1" t="s">
        <v>33</v>
      </c>
      <c r="B17" s="4">
        <v>68640</v>
      </c>
      <c r="C17" s="7" t="s">
        <v>34</v>
      </c>
      <c r="D17" s="6" t="s">
        <v>35</v>
      </c>
      <c r="E17" s="3">
        <f t="shared" si="0"/>
        <v>0.35846749788161242</v>
      </c>
      <c r="F17">
        <f t="shared" si="1"/>
        <v>-1.0259172844705533</v>
      </c>
      <c r="G17">
        <v>96.509270000000001</v>
      </c>
      <c r="H17">
        <f t="shared" si="2"/>
        <v>4.5696390659074311</v>
      </c>
      <c r="I17">
        <v>96.952380952380963</v>
      </c>
      <c r="J17">
        <f t="shared" si="3"/>
        <v>4.5742199399469907</v>
      </c>
      <c r="K17">
        <f t="shared" si="4"/>
        <v>13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5">
      <c r="A18" s="1" t="s">
        <v>36</v>
      </c>
      <c r="B18" s="4">
        <v>74385</v>
      </c>
      <c r="C18" s="7" t="s">
        <v>37</v>
      </c>
      <c r="D18" s="6" t="s">
        <v>38</v>
      </c>
      <c r="E18" s="3">
        <f t="shared" si="0"/>
        <v>0.35629090909090905</v>
      </c>
      <c r="F18">
        <f t="shared" si="1"/>
        <v>-1.0320077214561427</v>
      </c>
      <c r="G18">
        <v>101.3399</v>
      </c>
      <c r="H18">
        <f t="shared" si="2"/>
        <v>4.6184802132700913</v>
      </c>
      <c r="I18">
        <v>104.2385</v>
      </c>
      <c r="J18">
        <f t="shared" si="3"/>
        <v>4.6466815428435231</v>
      </c>
      <c r="K18">
        <f t="shared" si="4"/>
        <v>14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 s="1" t="s">
        <v>39</v>
      </c>
      <c r="B19" s="4">
        <v>80112</v>
      </c>
      <c r="C19" s="7" t="s">
        <v>40</v>
      </c>
      <c r="D19" s="6" t="s">
        <v>41</v>
      </c>
      <c r="E19" s="3">
        <f t="shared" si="0"/>
        <v>0.36103435627827357</v>
      </c>
      <c r="F19">
        <f t="shared" si="1"/>
        <v>-1.0187821554316989</v>
      </c>
      <c r="G19">
        <v>97.331500000000005</v>
      </c>
      <c r="H19">
        <f t="shared" si="2"/>
        <v>4.5781226778063413</v>
      </c>
      <c r="I19">
        <v>114.9173913043478</v>
      </c>
      <c r="J19">
        <f t="shared" si="3"/>
        <v>4.7442135337520437</v>
      </c>
      <c r="K19">
        <f t="shared" si="4"/>
        <v>15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5">
      <c r="A20" s="1" t="s">
        <v>42</v>
      </c>
      <c r="B20" s="4">
        <v>55444</v>
      </c>
      <c r="C20" s="7" t="s">
        <v>43</v>
      </c>
      <c r="D20" s="6" t="s">
        <v>44</v>
      </c>
      <c r="E20" s="3">
        <f t="shared" si="0"/>
        <v>0.34803839232153572</v>
      </c>
      <c r="F20">
        <f t="shared" si="1"/>
        <v>-1.0554424825297375</v>
      </c>
      <c r="G20">
        <v>85.717500000000001</v>
      </c>
      <c r="H20">
        <f t="shared" si="2"/>
        <v>4.4510570054577254</v>
      </c>
      <c r="I20">
        <v>123.3257142857143</v>
      </c>
      <c r="J20">
        <f t="shared" si="3"/>
        <v>4.8148289390001651</v>
      </c>
      <c r="K20">
        <f t="shared" si="4"/>
        <v>16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 s="1" t="s">
        <v>45</v>
      </c>
      <c r="B21" s="4">
        <v>57500</v>
      </c>
      <c r="C21" s="7" t="s">
        <v>46</v>
      </c>
      <c r="D21" s="6" t="s">
        <v>47</v>
      </c>
      <c r="E21" s="3">
        <f t="shared" si="0"/>
        <v>0.35459020428254984</v>
      </c>
      <c r="F21">
        <f t="shared" si="1"/>
        <v>-1.0367925104202995</v>
      </c>
      <c r="G21">
        <v>89.623090000000005</v>
      </c>
      <c r="H21">
        <f t="shared" si="2"/>
        <v>4.4956129876745701</v>
      </c>
      <c r="I21">
        <v>114.9295454545455</v>
      </c>
      <c r="J21">
        <f t="shared" si="3"/>
        <v>4.7443192923963</v>
      </c>
      <c r="K21">
        <f t="shared" si="4"/>
        <v>17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s="1" t="s">
        <v>48</v>
      </c>
      <c r="B22" s="4">
        <v>57731</v>
      </c>
      <c r="C22" s="7" t="s">
        <v>49</v>
      </c>
      <c r="D22" s="6" t="s">
        <v>50</v>
      </c>
      <c r="E22" s="3">
        <f t="shared" si="0"/>
        <v>0.35862625760775058</v>
      </c>
      <c r="F22">
        <f t="shared" si="1"/>
        <v>-1.0254744979380623</v>
      </c>
      <c r="G22">
        <v>104.526</v>
      </c>
      <c r="H22">
        <f t="shared" si="2"/>
        <v>4.649435844286077</v>
      </c>
      <c r="I22">
        <v>114.37045454545451</v>
      </c>
      <c r="J22">
        <f t="shared" si="3"/>
        <v>4.7394427811268773</v>
      </c>
      <c r="K22">
        <f t="shared" si="4"/>
        <v>18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s="1" t="s">
        <v>51</v>
      </c>
      <c r="B23" s="4">
        <v>61458</v>
      </c>
      <c r="C23" s="7" t="s">
        <v>52</v>
      </c>
      <c r="D23" s="6" t="s">
        <v>53</v>
      </c>
      <c r="E23" s="3">
        <f t="shared" si="0"/>
        <v>0.36346347607052898</v>
      </c>
      <c r="F23">
        <f t="shared" si="1"/>
        <v>-1.0120764655423415</v>
      </c>
      <c r="G23">
        <v>104.8344</v>
      </c>
      <c r="H23">
        <f t="shared" si="2"/>
        <v>4.6523819623013853</v>
      </c>
      <c r="I23">
        <v>117.48333333333331</v>
      </c>
      <c r="J23">
        <f t="shared" si="3"/>
        <v>4.7662964795517748</v>
      </c>
      <c r="K23">
        <f t="shared" si="4"/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s="1" t="s">
        <v>54</v>
      </c>
      <c r="B24" s="4">
        <v>84212</v>
      </c>
      <c r="C24" s="7" t="s">
        <v>55</v>
      </c>
      <c r="D24" s="6" t="s">
        <v>56</v>
      </c>
      <c r="E24" s="3">
        <f t="shared" si="0"/>
        <v>0.37552447552447554</v>
      </c>
      <c r="F24">
        <f t="shared" si="1"/>
        <v>-0.97943162874508827</v>
      </c>
      <c r="G24">
        <v>99.695409999999995</v>
      </c>
      <c r="H24">
        <f t="shared" si="2"/>
        <v>4.6021196377936633</v>
      </c>
      <c r="I24">
        <v>110.3547826086957</v>
      </c>
      <c r="J24">
        <f t="shared" si="3"/>
        <v>4.7037004721233044</v>
      </c>
      <c r="K24">
        <f t="shared" si="4"/>
        <v>20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 x14ac:dyDescent="0.35">
      <c r="A25" s="1" t="s">
        <v>57</v>
      </c>
      <c r="B25" s="4">
        <v>90172</v>
      </c>
      <c r="C25" s="7" t="s">
        <v>58</v>
      </c>
      <c r="D25" s="6" t="s">
        <v>59</v>
      </c>
      <c r="E25" s="3">
        <f t="shared" si="0"/>
        <v>0.38710307131702237</v>
      </c>
      <c r="F25">
        <f t="shared" si="1"/>
        <v>-0.94906428726048697</v>
      </c>
      <c r="G25">
        <v>107.4038</v>
      </c>
      <c r="H25">
        <f t="shared" si="2"/>
        <v>4.6765955631993101</v>
      </c>
      <c r="I25">
        <v>111.96272727272731</v>
      </c>
      <c r="J25">
        <f t="shared" si="3"/>
        <v>4.7181660236996867</v>
      </c>
      <c r="K25">
        <f t="shared" si="4"/>
        <v>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 x14ac:dyDescent="0.35">
      <c r="A26" s="1" t="s">
        <v>60</v>
      </c>
      <c r="B26" s="4">
        <v>79515</v>
      </c>
      <c r="C26" s="7" t="s">
        <v>61</v>
      </c>
      <c r="D26" s="6" t="s">
        <v>62</v>
      </c>
      <c r="E26" s="3">
        <f t="shared" si="0"/>
        <v>0.39441187964048458</v>
      </c>
      <c r="F26">
        <f t="shared" si="1"/>
        <v>-0.930359535914975</v>
      </c>
      <c r="G26">
        <v>103.7038</v>
      </c>
      <c r="H26">
        <f t="shared" si="2"/>
        <v>4.6415387587299639</v>
      </c>
      <c r="I26">
        <v>110.4295238095238</v>
      </c>
      <c r="J26">
        <f t="shared" si="3"/>
        <v>4.7043775239019903</v>
      </c>
      <c r="K26">
        <f t="shared" si="4"/>
        <v>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 x14ac:dyDescent="0.35">
      <c r="A27" s="1" t="s">
        <v>63</v>
      </c>
      <c r="B27" s="4">
        <v>96275</v>
      </c>
      <c r="C27" s="7" t="s">
        <v>64</v>
      </c>
      <c r="D27" s="6" t="s">
        <v>65</v>
      </c>
      <c r="E27" s="3">
        <f t="shared" si="0"/>
        <v>0.38981696313482861</v>
      </c>
      <c r="F27">
        <f t="shared" si="1"/>
        <v>-0.94207797532134363</v>
      </c>
      <c r="G27">
        <v>102.7788</v>
      </c>
      <c r="H27">
        <f t="shared" si="2"/>
        <v>4.6325791060726909</v>
      </c>
      <c r="I27">
        <v>111.1586363636364</v>
      </c>
      <c r="J27">
        <f t="shared" si="3"/>
        <v>4.7109583374694113</v>
      </c>
      <c r="K27">
        <f t="shared" si="4"/>
        <v>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 x14ac:dyDescent="0.35">
      <c r="A28" s="1" t="s">
        <v>66</v>
      </c>
      <c r="B28" s="4">
        <v>97289</v>
      </c>
      <c r="C28" s="7" t="s">
        <v>67</v>
      </c>
      <c r="D28" s="6" t="s">
        <v>68</v>
      </c>
      <c r="E28" s="3">
        <f t="shared" si="0"/>
        <v>0.38880041099409196</v>
      </c>
      <c r="F28">
        <f t="shared" si="1"/>
        <v>-0.94468914931284187</v>
      </c>
      <c r="G28">
        <v>103.9093</v>
      </c>
      <c r="H28">
        <f t="shared" si="2"/>
        <v>4.6435184032428847</v>
      </c>
      <c r="I28">
        <v>108.3477272727273</v>
      </c>
      <c r="J28">
        <f t="shared" si="3"/>
        <v>4.6853457519684394</v>
      </c>
      <c r="K28">
        <f t="shared" si="4"/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 s="1" t="s">
        <v>69</v>
      </c>
      <c r="B29" s="4">
        <v>63910</v>
      </c>
      <c r="C29" s="7" t="s">
        <v>70</v>
      </c>
      <c r="D29" s="6" t="s">
        <v>71</v>
      </c>
      <c r="E29" s="3">
        <f t="shared" si="0"/>
        <v>0.3905040270200052</v>
      </c>
      <c r="F29">
        <f t="shared" si="1"/>
        <v>-0.94031699728436546</v>
      </c>
      <c r="G29">
        <v>96.303709999999995</v>
      </c>
      <c r="H29">
        <f t="shared" si="2"/>
        <v>4.567506843503323</v>
      </c>
      <c r="I29">
        <v>111.41500000000001</v>
      </c>
      <c r="J29">
        <f t="shared" si="3"/>
        <v>4.7132619683389319</v>
      </c>
      <c r="K29">
        <f t="shared" si="4"/>
        <v>25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s="1" t="s">
        <v>72</v>
      </c>
      <c r="B30" s="4">
        <v>100605</v>
      </c>
      <c r="C30" s="7" t="s">
        <v>73</v>
      </c>
      <c r="D30" s="6" t="s">
        <v>74</v>
      </c>
      <c r="E30" s="3">
        <f t="shared" si="0"/>
        <v>0.37712718458987116</v>
      </c>
      <c r="F30">
        <f t="shared" si="1"/>
        <v>-0.97517278877226876</v>
      </c>
      <c r="G30">
        <v>104.6288</v>
      </c>
      <c r="H30">
        <f t="shared" si="2"/>
        <v>4.6504188483412365</v>
      </c>
      <c r="I30">
        <v>119.1657142857143</v>
      </c>
      <c r="J30">
        <f t="shared" si="3"/>
        <v>4.7805150814260244</v>
      </c>
      <c r="K30">
        <f t="shared" si="4"/>
        <v>26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s="1" t="s">
        <v>75</v>
      </c>
      <c r="B31" s="4">
        <v>116735</v>
      </c>
      <c r="C31" s="7" t="s">
        <v>76</v>
      </c>
      <c r="D31" s="6" t="s">
        <v>77</v>
      </c>
      <c r="E31" s="3">
        <f t="shared" si="0"/>
        <v>0.3584374620890452</v>
      </c>
      <c r="F31">
        <f t="shared" si="1"/>
        <v>-1.02600107742572</v>
      </c>
      <c r="G31">
        <v>112.6455</v>
      </c>
      <c r="H31">
        <f t="shared" si="2"/>
        <v>4.7242457193426786</v>
      </c>
      <c r="I31">
        <v>124.7031818181818</v>
      </c>
      <c r="J31">
        <f t="shared" si="3"/>
        <v>4.825936368143803</v>
      </c>
      <c r="K31">
        <f t="shared" si="4"/>
        <v>27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s="1" t="s">
        <v>78</v>
      </c>
      <c r="B32" s="4">
        <v>77928</v>
      </c>
      <c r="C32" s="7" t="s">
        <v>79</v>
      </c>
      <c r="D32" s="6" t="s">
        <v>80</v>
      </c>
      <c r="E32" s="3">
        <f t="shared" si="0"/>
        <v>0.36205669407289243</v>
      </c>
      <c r="F32">
        <f t="shared" si="1"/>
        <v>-1.0159544659579449</v>
      </c>
      <c r="G32">
        <v>98.05095</v>
      </c>
      <c r="H32">
        <f t="shared" si="2"/>
        <v>4.585487241529635</v>
      </c>
      <c r="I32">
        <v>120.47</v>
      </c>
      <c r="J32">
        <f t="shared" si="3"/>
        <v>4.7914007592787611</v>
      </c>
      <c r="K32">
        <f t="shared" si="4"/>
        <v>28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s="1" t="s">
        <v>81</v>
      </c>
      <c r="B33" s="4">
        <v>84745</v>
      </c>
      <c r="C33" s="7" t="s">
        <v>82</v>
      </c>
      <c r="D33" s="6" t="s">
        <v>83</v>
      </c>
      <c r="E33" s="3">
        <f t="shared" si="0"/>
        <v>0.37033366783743099</v>
      </c>
      <c r="F33">
        <f t="shared" si="1"/>
        <v>-0.9933508747596359</v>
      </c>
      <c r="G33">
        <v>96.098150000000004</v>
      </c>
      <c r="H33">
        <f t="shared" si="2"/>
        <v>4.5653700650105113</v>
      </c>
      <c r="I33">
        <v>110.822173913043</v>
      </c>
      <c r="J33">
        <f t="shared" si="3"/>
        <v>4.7079268798597136</v>
      </c>
      <c r="K33">
        <f t="shared" si="4"/>
        <v>29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s="1" t="s">
        <v>84</v>
      </c>
      <c r="B34" s="4">
        <v>74254</v>
      </c>
      <c r="C34" s="7" t="s">
        <v>85</v>
      </c>
      <c r="D34" s="6" t="s">
        <v>86</v>
      </c>
      <c r="E34" s="3">
        <f t="shared" si="0"/>
        <v>0.37755925365607668</v>
      </c>
      <c r="F34">
        <f t="shared" si="1"/>
        <v>-0.97402775928315644</v>
      </c>
      <c r="G34">
        <v>103.8066</v>
      </c>
      <c r="H34">
        <f t="shared" si="2"/>
        <v>4.6425295525254517</v>
      </c>
      <c r="I34">
        <v>95.889047619047616</v>
      </c>
      <c r="J34">
        <f t="shared" si="3"/>
        <v>4.5631917691009125</v>
      </c>
      <c r="K34">
        <f t="shared" si="4"/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s="1" t="s">
        <v>87</v>
      </c>
      <c r="B35" s="4">
        <v>67351</v>
      </c>
      <c r="C35" s="7" t="s">
        <v>88</v>
      </c>
      <c r="D35" s="6" t="s">
        <v>89</v>
      </c>
      <c r="E35" s="3">
        <f t="shared" si="0"/>
        <v>0.37993162826031907</v>
      </c>
      <c r="F35">
        <f t="shared" si="1"/>
        <v>-0.96776396808100307</v>
      </c>
      <c r="G35">
        <v>104.9371</v>
      </c>
      <c r="H35">
        <f t="shared" si="2"/>
        <v>4.6533611230377607</v>
      </c>
      <c r="I35">
        <v>102.9795454545455</v>
      </c>
      <c r="J35">
        <f t="shared" si="3"/>
        <v>4.634530380688517</v>
      </c>
      <c r="K35">
        <f t="shared" si="4"/>
        <v>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 x14ac:dyDescent="0.35">
      <c r="A36" s="1" t="s">
        <v>90</v>
      </c>
      <c r="B36" s="4">
        <v>97208</v>
      </c>
      <c r="C36" s="7" t="s">
        <v>91</v>
      </c>
      <c r="D36" s="6" t="s">
        <v>92</v>
      </c>
      <c r="E36" s="3">
        <f t="shared" si="0"/>
        <v>0.38123569794050344</v>
      </c>
      <c r="F36">
        <f t="shared" si="1"/>
        <v>-0.96433746536284781</v>
      </c>
      <c r="G36">
        <v>95.995369999999994</v>
      </c>
      <c r="H36">
        <f t="shared" si="2"/>
        <v>4.5642999611381061</v>
      </c>
      <c r="I36">
        <v>113.78043478260869</v>
      </c>
      <c r="J36">
        <f t="shared" si="3"/>
        <v>4.7342705805720877</v>
      </c>
      <c r="K36">
        <f t="shared" si="4"/>
        <v>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</row>
    <row r="37" spans="1:22" x14ac:dyDescent="0.35">
      <c r="A37" s="1" t="s">
        <v>93</v>
      </c>
      <c r="B37" s="4">
        <v>89009</v>
      </c>
      <c r="C37" s="7" t="s">
        <v>94</v>
      </c>
      <c r="D37" s="6" t="s">
        <v>95</v>
      </c>
      <c r="E37" s="3">
        <f t="shared" si="0"/>
        <v>0.37876423180248175</v>
      </c>
      <c r="F37">
        <f t="shared" si="1"/>
        <v>-0.97084134714838421</v>
      </c>
      <c r="G37">
        <v>99.59263</v>
      </c>
      <c r="H37">
        <f t="shared" si="2"/>
        <v>4.601088165868779</v>
      </c>
      <c r="I37">
        <v>113.64149999999999</v>
      </c>
      <c r="J37">
        <f t="shared" si="3"/>
        <v>4.7330487564764869</v>
      </c>
      <c r="K37">
        <f t="shared" si="4"/>
        <v>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</row>
    <row r="38" spans="1:22" x14ac:dyDescent="0.35">
      <c r="A38" s="1" t="s">
        <v>96</v>
      </c>
      <c r="B38" s="4">
        <v>84986</v>
      </c>
      <c r="C38" s="7" t="s">
        <v>97</v>
      </c>
      <c r="D38" s="6" t="s">
        <v>98</v>
      </c>
      <c r="E38" s="3">
        <f t="shared" si="0"/>
        <v>0.37147017854881603</v>
      </c>
      <c r="F38">
        <f t="shared" si="1"/>
        <v>-0.99028669113166634</v>
      </c>
      <c r="G38">
        <v>99.078739999999996</v>
      </c>
      <c r="H38">
        <f t="shared" si="2"/>
        <v>4.5959148875439304</v>
      </c>
      <c r="I38">
        <v>111.79260869565221</v>
      </c>
      <c r="J38">
        <f t="shared" si="3"/>
        <v>4.7166454466898271</v>
      </c>
      <c r="K38">
        <f t="shared" si="4"/>
        <v>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</row>
    <row r="39" spans="1:22" x14ac:dyDescent="0.35">
      <c r="A39" s="1" t="s">
        <v>99</v>
      </c>
      <c r="B39" s="4">
        <v>92603</v>
      </c>
      <c r="C39" s="7" t="s">
        <v>100</v>
      </c>
      <c r="D39" s="6" t="s">
        <v>101</v>
      </c>
      <c r="E39" s="3">
        <f t="shared" si="0"/>
        <v>0.36124520361430867</v>
      </c>
      <c r="F39">
        <f t="shared" si="1"/>
        <v>-1.018198316835863</v>
      </c>
      <c r="G39">
        <v>97.537059999999997</v>
      </c>
      <c r="H39">
        <f t="shared" si="2"/>
        <v>4.580232408347225</v>
      </c>
      <c r="I39">
        <v>109.91181818181821</v>
      </c>
      <c r="J39">
        <f t="shared" si="3"/>
        <v>4.6996783914043441</v>
      </c>
      <c r="K39">
        <f t="shared" si="4"/>
        <v>35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</row>
    <row r="40" spans="1:22" x14ac:dyDescent="0.35">
      <c r="A40" s="1" t="s">
        <v>102</v>
      </c>
      <c r="B40" s="4">
        <v>87733</v>
      </c>
      <c r="C40" s="7" t="s">
        <v>103</v>
      </c>
      <c r="D40" s="6" t="s">
        <v>104</v>
      </c>
      <c r="E40" s="3">
        <f t="shared" si="0"/>
        <v>0.34839674563292655</v>
      </c>
      <c r="F40">
        <f t="shared" si="1"/>
        <v>-1.0544133749402786</v>
      </c>
      <c r="G40">
        <v>96.509270000000001</v>
      </c>
      <c r="H40">
        <f t="shared" si="2"/>
        <v>4.5696390659074311</v>
      </c>
      <c r="I40">
        <v>109.56904761904759</v>
      </c>
      <c r="J40">
        <f t="shared" si="3"/>
        <v>4.6965549223931031</v>
      </c>
      <c r="K40">
        <f t="shared" si="4"/>
        <v>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s="1" t="s">
        <v>105</v>
      </c>
      <c r="B41" s="4">
        <v>75819</v>
      </c>
      <c r="C41" s="7" t="s">
        <v>106</v>
      </c>
      <c r="D41" s="6" t="s">
        <v>107</v>
      </c>
      <c r="E41" s="3">
        <f t="shared" si="0"/>
        <v>0.32732166890982506</v>
      </c>
      <c r="F41">
        <f t="shared" si="1"/>
        <v>-1.116811894625747</v>
      </c>
      <c r="G41">
        <v>91.092410000000001</v>
      </c>
      <c r="H41">
        <f t="shared" si="2"/>
        <v>4.5118744857566027</v>
      </c>
      <c r="I41">
        <v>112.52782608695649</v>
      </c>
      <c r="J41">
        <f t="shared" si="3"/>
        <v>4.7232005340554082</v>
      </c>
      <c r="K41">
        <f t="shared" si="4"/>
        <v>37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s="1" t="s">
        <v>108</v>
      </c>
      <c r="B42" s="4">
        <v>73958</v>
      </c>
      <c r="C42" s="7" t="s">
        <v>109</v>
      </c>
      <c r="D42" s="6" t="s">
        <v>110</v>
      </c>
      <c r="E42" s="3">
        <f t="shared" si="0"/>
        <v>0.31839647955350431</v>
      </c>
      <c r="F42">
        <f t="shared" si="1"/>
        <v>-1.144457881751727</v>
      </c>
      <c r="G42">
        <v>94.992080000000001</v>
      </c>
      <c r="H42">
        <f t="shared" si="2"/>
        <v>4.5537935197041479</v>
      </c>
      <c r="I42">
        <v>116.488</v>
      </c>
      <c r="J42">
        <f t="shared" si="3"/>
        <v>4.7577882634086031</v>
      </c>
      <c r="K42">
        <f t="shared" si="4"/>
        <v>38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5">
      <c r="A43" s="1" t="s">
        <v>111</v>
      </c>
      <c r="B43" s="4">
        <v>112766</v>
      </c>
      <c r="C43" s="7" t="s">
        <v>112</v>
      </c>
      <c r="D43" s="6" t="s">
        <v>113</v>
      </c>
      <c r="E43" s="3">
        <f t="shared" si="0"/>
        <v>0.31435805464711464</v>
      </c>
      <c r="F43">
        <f t="shared" si="1"/>
        <v>-1.1572226412998028</v>
      </c>
      <c r="G43">
        <v>105.5912</v>
      </c>
      <c r="H43">
        <f t="shared" si="2"/>
        <v>4.6595750344664131</v>
      </c>
      <c r="I43">
        <v>109.5857142857143</v>
      </c>
      <c r="J43">
        <f t="shared" si="3"/>
        <v>4.6967070219099378</v>
      </c>
      <c r="K43">
        <f t="shared" si="4"/>
        <v>39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5">
      <c r="A44" s="1" t="s">
        <v>114</v>
      </c>
      <c r="B44" s="4">
        <v>69698</v>
      </c>
      <c r="C44" s="7" t="s">
        <v>115</v>
      </c>
      <c r="D44" s="6" t="s">
        <v>116</v>
      </c>
      <c r="E44" s="3">
        <f t="shared" si="0"/>
        <v>0.30583418628454451</v>
      </c>
      <c r="F44">
        <f t="shared" si="1"/>
        <v>-1.1847121987841205</v>
      </c>
      <c r="G44">
        <v>96.191990000000004</v>
      </c>
      <c r="H44">
        <f t="shared" si="2"/>
        <v>4.5663460901717547</v>
      </c>
      <c r="I44">
        <v>102.96</v>
      </c>
      <c r="J44">
        <f t="shared" si="3"/>
        <v>4.6343405632878714</v>
      </c>
      <c r="K44">
        <f t="shared" si="4"/>
        <v>40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5">
      <c r="A45" s="1" t="s">
        <v>117</v>
      </c>
      <c r="B45" s="4">
        <v>72135</v>
      </c>
      <c r="C45" s="7" t="s">
        <v>118</v>
      </c>
      <c r="D45" s="6" t="s">
        <v>119</v>
      </c>
      <c r="E45" s="3">
        <f t="shared" si="0"/>
        <v>0.29568658488326083</v>
      </c>
      <c r="F45">
        <f t="shared" si="1"/>
        <v>-1.2184552204735613</v>
      </c>
      <c r="G45">
        <v>95.692019999999999</v>
      </c>
      <c r="H45">
        <f t="shared" si="2"/>
        <v>4.5611349094022007</v>
      </c>
      <c r="I45">
        <v>102.9804347826087</v>
      </c>
      <c r="J45">
        <f t="shared" si="3"/>
        <v>4.6345390166192661</v>
      </c>
      <c r="K45">
        <f t="shared" si="4"/>
        <v>41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5">
      <c r="A46" s="1" t="s">
        <v>120</v>
      </c>
      <c r="B46" s="4">
        <v>57981</v>
      </c>
      <c r="C46" s="7" t="s">
        <v>121</v>
      </c>
      <c r="D46" s="6" t="s">
        <v>122</v>
      </c>
      <c r="E46" s="3">
        <f t="shared" si="0"/>
        <v>0.30914414877221824</v>
      </c>
      <c r="F46">
        <f t="shared" si="1"/>
        <v>-1.1739476099811337</v>
      </c>
      <c r="G46">
        <v>98.59178</v>
      </c>
      <c r="H46">
        <f t="shared" si="2"/>
        <v>4.5909878909933974</v>
      </c>
      <c r="I46">
        <v>103.35850000000001</v>
      </c>
      <c r="J46">
        <f t="shared" si="3"/>
        <v>4.6382035275450848</v>
      </c>
      <c r="K46">
        <f t="shared" si="4"/>
        <v>42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5">
      <c r="A47" s="1" t="s">
        <v>123</v>
      </c>
      <c r="B47" s="4">
        <v>66519</v>
      </c>
      <c r="C47" s="7" t="s">
        <v>124</v>
      </c>
      <c r="D47" s="6" t="s">
        <v>125</v>
      </c>
      <c r="E47" s="3">
        <f t="shared" si="0"/>
        <v>0.30116290726817041</v>
      </c>
      <c r="F47">
        <f t="shared" si="1"/>
        <v>-1.2001039404800344</v>
      </c>
      <c r="G47">
        <v>105.8912</v>
      </c>
      <c r="H47">
        <f t="shared" si="2"/>
        <v>4.6624121518930242</v>
      </c>
      <c r="I47">
        <v>107.77956521739129</v>
      </c>
      <c r="J47">
        <f t="shared" si="3"/>
        <v>4.680088078514947</v>
      </c>
      <c r="K47">
        <f t="shared" si="4"/>
        <v>43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</row>
    <row r="48" spans="1:22" x14ac:dyDescent="0.35">
      <c r="A48" s="1" t="s">
        <v>126</v>
      </c>
      <c r="B48" s="4">
        <v>95108</v>
      </c>
      <c r="C48" s="7" t="s">
        <v>127</v>
      </c>
      <c r="D48" s="6" t="s">
        <v>128</v>
      </c>
      <c r="E48" s="3">
        <f t="shared" si="0"/>
        <v>0.30682538060692754</v>
      </c>
      <c r="F48">
        <f t="shared" si="1"/>
        <v>-1.1814764860302478</v>
      </c>
      <c r="G48">
        <v>94.492130000000003</v>
      </c>
      <c r="H48">
        <f t="shared" si="2"/>
        <v>4.5485165506084098</v>
      </c>
      <c r="I48">
        <v>111.05818181818179</v>
      </c>
      <c r="J48">
        <f t="shared" si="3"/>
        <v>4.7100542245123513</v>
      </c>
      <c r="K48">
        <f t="shared" si="4"/>
        <v>44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</row>
    <row r="49" spans="1:22" x14ac:dyDescent="0.35">
      <c r="A49" s="1" t="s">
        <v>129</v>
      </c>
      <c r="B49" s="4">
        <v>87243</v>
      </c>
      <c r="C49" s="7" t="s">
        <v>130</v>
      </c>
      <c r="D49" s="6" t="s">
        <v>131</v>
      </c>
      <c r="E49" s="3">
        <f t="shared" si="0"/>
        <v>0.29997985495568091</v>
      </c>
      <c r="F49">
        <f t="shared" si="1"/>
        <v>-1.2040399567283384</v>
      </c>
      <c r="G49">
        <v>103.1914</v>
      </c>
      <c r="H49">
        <f t="shared" si="2"/>
        <v>4.6365855162417136</v>
      </c>
      <c r="I49">
        <v>111.9628571428571</v>
      </c>
      <c r="J49">
        <f t="shared" si="3"/>
        <v>4.7181671836397641</v>
      </c>
      <c r="K49">
        <f t="shared" si="4"/>
        <v>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 x14ac:dyDescent="0.35">
      <c r="A50" s="1" t="s">
        <v>132</v>
      </c>
      <c r="B50" s="4">
        <v>94157</v>
      </c>
      <c r="C50" s="7" t="s">
        <v>133</v>
      </c>
      <c r="D50" s="6" t="s">
        <v>134</v>
      </c>
      <c r="E50" s="3">
        <f t="shared" si="0"/>
        <v>0.30149253731343284</v>
      </c>
      <c r="F50">
        <f t="shared" si="1"/>
        <v>-1.199010014983807</v>
      </c>
      <c r="G50">
        <v>103.8913</v>
      </c>
      <c r="H50">
        <f t="shared" si="2"/>
        <v>4.6433451602393028</v>
      </c>
      <c r="I50">
        <v>109.6186956521739</v>
      </c>
      <c r="J50">
        <f t="shared" si="3"/>
        <v>4.6970079407346805</v>
      </c>
      <c r="K50">
        <f t="shared" si="4"/>
        <v>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</row>
    <row r="51" spans="1:22" x14ac:dyDescent="0.35">
      <c r="A51" s="1" t="s">
        <v>135</v>
      </c>
      <c r="B51" s="4">
        <v>104724</v>
      </c>
      <c r="C51" s="7" t="s">
        <v>136</v>
      </c>
      <c r="D51" s="6" t="s">
        <v>137</v>
      </c>
      <c r="E51" s="3">
        <f t="shared" si="0"/>
        <v>0.29651267662090386</v>
      </c>
      <c r="F51">
        <f t="shared" si="1"/>
        <v>-1.2156653072562551</v>
      </c>
      <c r="G51">
        <v>101.7915</v>
      </c>
      <c r="H51">
        <f t="shared" si="2"/>
        <v>4.6229266035773042</v>
      </c>
      <c r="I51">
        <v>108.1504761904762</v>
      </c>
      <c r="J51">
        <f t="shared" si="3"/>
        <v>4.6835235554450954</v>
      </c>
      <c r="K51">
        <f t="shared" si="4"/>
        <v>47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x14ac:dyDescent="0.35">
      <c r="A52" s="1" t="s">
        <v>138</v>
      </c>
      <c r="B52" s="4">
        <v>109005</v>
      </c>
      <c r="C52" s="7" t="s">
        <v>139</v>
      </c>
      <c r="D52" s="6" t="s">
        <v>140</v>
      </c>
      <c r="E52" s="3">
        <f t="shared" si="0"/>
        <v>0.28829900396480029</v>
      </c>
      <c r="F52">
        <f t="shared" si="1"/>
        <v>-1.2437571292004941</v>
      </c>
      <c r="G52">
        <v>103.2914</v>
      </c>
      <c r="H52">
        <f t="shared" si="2"/>
        <v>4.6375541199977484</v>
      </c>
      <c r="I52">
        <v>111.0704545454545</v>
      </c>
      <c r="J52">
        <f t="shared" si="3"/>
        <v>4.7101647255939421</v>
      </c>
      <c r="K52">
        <f t="shared" si="4"/>
        <v>48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s="1" t="s">
        <v>141</v>
      </c>
      <c r="B53" s="4">
        <v>80699</v>
      </c>
      <c r="C53" s="7" t="s">
        <v>142</v>
      </c>
      <c r="D53" s="6" t="s">
        <v>143</v>
      </c>
      <c r="E53" s="3">
        <f t="shared" si="0"/>
        <v>0.29116798152780449</v>
      </c>
      <c r="F53">
        <f t="shared" si="1"/>
        <v>-1.2338549222495678</v>
      </c>
      <c r="G53">
        <v>99.291730000000001</v>
      </c>
      <c r="H53">
        <f t="shared" si="2"/>
        <v>4.5980622846020411</v>
      </c>
      <c r="I53">
        <v>107.9269565217391</v>
      </c>
      <c r="J53">
        <f t="shared" si="3"/>
        <v>4.6814546698085078</v>
      </c>
      <c r="K53">
        <f t="shared" si="4"/>
        <v>49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5">
      <c r="A54" s="1" t="s">
        <v>144</v>
      </c>
      <c r="B54" s="4">
        <v>100572</v>
      </c>
      <c r="C54" s="7" t="s">
        <v>145</v>
      </c>
      <c r="D54" s="6" t="s">
        <v>146</v>
      </c>
      <c r="E54" s="3">
        <f t="shared" si="0"/>
        <v>0.29734729835552076</v>
      </c>
      <c r="F54">
        <f t="shared" si="1"/>
        <v>-1.2128544686097682</v>
      </c>
      <c r="G54">
        <v>100.8916</v>
      </c>
      <c r="H54">
        <f t="shared" si="2"/>
        <v>4.6140466731507175</v>
      </c>
      <c r="I54">
        <v>108.83799999999999</v>
      </c>
      <c r="J54">
        <f t="shared" si="3"/>
        <v>4.6898605381490048</v>
      </c>
      <c r="K54">
        <f t="shared" si="4"/>
        <v>50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5">
      <c r="A55" s="1" t="s">
        <v>147</v>
      </c>
      <c r="B55" s="4">
        <v>124952</v>
      </c>
      <c r="C55" s="7" t="s">
        <v>148</v>
      </c>
      <c r="D55" s="6" t="s">
        <v>149</v>
      </c>
      <c r="E55" s="3">
        <f t="shared" si="0"/>
        <v>0.29770216094651414</v>
      </c>
      <c r="F55">
        <f t="shared" si="1"/>
        <v>-1.211661752180859</v>
      </c>
      <c r="G55">
        <v>112.4906</v>
      </c>
      <c r="H55">
        <f t="shared" si="2"/>
        <v>4.7228696625979598</v>
      </c>
      <c r="I55">
        <v>107.86809523809519</v>
      </c>
      <c r="J55">
        <f t="shared" si="3"/>
        <v>4.6809091402922034</v>
      </c>
      <c r="K55">
        <f t="shared" si="4"/>
        <v>51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5">
      <c r="A56" s="1" t="s">
        <v>150</v>
      </c>
      <c r="B56" s="4">
        <v>78110</v>
      </c>
      <c r="C56" s="7" t="s">
        <v>151</v>
      </c>
      <c r="D56" s="6" t="s">
        <v>152</v>
      </c>
      <c r="E56" s="3">
        <f t="shared" si="0"/>
        <v>0.29512480499219967</v>
      </c>
      <c r="F56">
        <f t="shared" si="1"/>
        <v>-1.2203569443400848</v>
      </c>
      <c r="G56">
        <v>97.791849999999997</v>
      </c>
      <c r="H56">
        <f t="shared" si="2"/>
        <v>4.5828412402350232</v>
      </c>
      <c r="I56">
        <v>108.0036363636364</v>
      </c>
      <c r="J56">
        <f t="shared" si="3"/>
        <v>4.6821648965910674</v>
      </c>
      <c r="K56">
        <f t="shared" si="4"/>
        <v>52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5">
      <c r="A57" s="1" t="s">
        <v>153</v>
      </c>
      <c r="B57" s="4">
        <v>92938</v>
      </c>
      <c r="C57" s="7" t="s">
        <v>154</v>
      </c>
      <c r="D57" s="6" t="s">
        <v>155</v>
      </c>
      <c r="E57" s="3">
        <f t="shared" si="0"/>
        <v>0.29646330680813437</v>
      </c>
      <c r="F57">
        <f t="shared" si="1"/>
        <v>-1.2158318226439377</v>
      </c>
      <c r="G57">
        <v>95.992000000000004</v>
      </c>
      <c r="H57">
        <f t="shared" si="2"/>
        <v>4.5642648546620874</v>
      </c>
      <c r="I57">
        <v>109.8322727272727</v>
      </c>
      <c r="J57">
        <f t="shared" si="3"/>
        <v>4.6989544087234822</v>
      </c>
      <c r="K57">
        <f t="shared" si="4"/>
        <v>53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5">
      <c r="A58" s="1" t="s">
        <v>156</v>
      </c>
      <c r="B58" s="4">
        <v>81412</v>
      </c>
      <c r="C58" s="7" t="s">
        <v>157</v>
      </c>
      <c r="D58" s="6" t="s">
        <v>158</v>
      </c>
      <c r="E58" s="3">
        <f t="shared" si="0"/>
        <v>0.29439490445859873</v>
      </c>
      <c r="F58">
        <f t="shared" si="1"/>
        <v>-1.2228332005020734</v>
      </c>
      <c r="G58">
        <v>101.9915</v>
      </c>
      <c r="H58">
        <f t="shared" si="2"/>
        <v>4.6248894764785229</v>
      </c>
      <c r="I58">
        <v>112.24095238095239</v>
      </c>
      <c r="J58">
        <f t="shared" si="3"/>
        <v>4.7206479209769556</v>
      </c>
      <c r="K58">
        <f t="shared" si="4"/>
        <v>54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5">
      <c r="A59" s="1" t="s">
        <v>159</v>
      </c>
      <c r="B59" s="4">
        <v>83093</v>
      </c>
      <c r="C59" s="7" t="s">
        <v>160</v>
      </c>
      <c r="D59" s="6" t="s">
        <v>161</v>
      </c>
      <c r="E59" s="3">
        <f t="shared" si="0"/>
        <v>0.29188558085230587</v>
      </c>
      <c r="F59">
        <f t="shared" si="1"/>
        <v>-1.2313933999019282</v>
      </c>
      <c r="G59">
        <v>105.7912</v>
      </c>
      <c r="H59">
        <f t="shared" si="2"/>
        <v>4.6614673401614972</v>
      </c>
      <c r="I59">
        <v>107.46260869565219</v>
      </c>
      <c r="J59">
        <f t="shared" si="3"/>
        <v>4.6771429609752371</v>
      </c>
      <c r="K59">
        <f t="shared" si="4"/>
        <v>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</row>
    <row r="60" spans="1:22" x14ac:dyDescent="0.35">
      <c r="A60" s="1" t="s">
        <v>162</v>
      </c>
      <c r="B60" s="4">
        <v>112328</v>
      </c>
      <c r="C60" s="7" t="s">
        <v>163</v>
      </c>
      <c r="D60" s="6" t="s">
        <v>164</v>
      </c>
      <c r="E60" s="3">
        <f t="shared" si="0"/>
        <v>0.29173465423465422</v>
      </c>
      <c r="F60">
        <f t="shared" si="1"/>
        <v>-1.2319106082231703</v>
      </c>
      <c r="G60">
        <v>91.992329999999995</v>
      </c>
      <c r="H60">
        <f t="shared" si="2"/>
        <v>4.5217052040083878</v>
      </c>
      <c r="I60">
        <v>102.4019047619048</v>
      </c>
      <c r="J60">
        <f t="shared" si="3"/>
        <v>4.6289053136228837</v>
      </c>
      <c r="K60">
        <f t="shared" si="4"/>
        <v>56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</row>
    <row r="61" spans="1:22" x14ac:dyDescent="0.35">
      <c r="A61" s="1" t="s">
        <v>165</v>
      </c>
      <c r="B61" s="4">
        <v>103805</v>
      </c>
      <c r="C61" s="7" t="s">
        <v>166</v>
      </c>
      <c r="D61" s="6" t="s">
        <v>167</v>
      </c>
      <c r="E61" s="3">
        <f t="shared" si="0"/>
        <v>0.28119171950764643</v>
      </c>
      <c r="F61">
        <f t="shared" si="1"/>
        <v>-1.2687185664648084</v>
      </c>
      <c r="G61">
        <v>104.29130000000001</v>
      </c>
      <c r="H61">
        <f t="shared" si="2"/>
        <v>4.6471879452965856</v>
      </c>
      <c r="I61">
        <v>97.852727272727279</v>
      </c>
      <c r="J61">
        <f t="shared" si="3"/>
        <v>4.5834635654283984</v>
      </c>
      <c r="K61">
        <f t="shared" si="4"/>
        <v>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 x14ac:dyDescent="0.35">
      <c r="A62" s="1" t="s">
        <v>168</v>
      </c>
      <c r="B62" s="4">
        <v>106320</v>
      </c>
      <c r="C62" s="7" t="s">
        <v>169</v>
      </c>
      <c r="D62" s="6" t="s">
        <v>170</v>
      </c>
      <c r="E62" s="3">
        <f t="shared" si="0"/>
        <v>0.28162132148806218</v>
      </c>
      <c r="F62">
        <f t="shared" si="1"/>
        <v>-1.2671919420529398</v>
      </c>
      <c r="G62">
        <v>103.09139999999999</v>
      </c>
      <c r="H62">
        <f t="shared" si="2"/>
        <v>4.6356159733827509</v>
      </c>
      <c r="I62">
        <v>87.584782608695647</v>
      </c>
      <c r="J62">
        <f t="shared" si="3"/>
        <v>4.4726072683396252</v>
      </c>
      <c r="K62">
        <f t="shared" si="4"/>
        <v>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1:22" x14ac:dyDescent="0.35">
      <c r="A63" s="1" t="s">
        <v>171</v>
      </c>
      <c r="B63" s="4">
        <v>115523</v>
      </c>
      <c r="C63" s="7" t="s">
        <v>172</v>
      </c>
      <c r="D63" s="6" t="s">
        <v>173</v>
      </c>
      <c r="E63" s="3">
        <f t="shared" si="0"/>
        <v>0.26497719645469409</v>
      </c>
      <c r="F63">
        <f t="shared" si="1"/>
        <v>-1.3281115078128862</v>
      </c>
      <c r="G63">
        <v>98.391800000000003</v>
      </c>
      <c r="H63">
        <f t="shared" si="2"/>
        <v>4.5889574672524596</v>
      </c>
      <c r="I63">
        <v>79.229500000000002</v>
      </c>
      <c r="J63">
        <f t="shared" si="3"/>
        <v>4.3723487042163569</v>
      </c>
      <c r="K63">
        <f t="shared" si="4"/>
        <v>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</row>
    <row r="64" spans="1:22" x14ac:dyDescent="0.35">
      <c r="A64" s="1" t="s">
        <v>174</v>
      </c>
      <c r="B64" s="4">
        <v>115588</v>
      </c>
      <c r="C64" s="7" t="s">
        <v>175</v>
      </c>
      <c r="D64" s="6" t="s">
        <v>176</v>
      </c>
      <c r="E64" s="3">
        <f t="shared" si="0"/>
        <v>0.26360740926996901</v>
      </c>
      <c r="F64">
        <f t="shared" si="1"/>
        <v>-1.3332943687443726</v>
      </c>
      <c r="G64">
        <v>103.3914</v>
      </c>
      <c r="H64">
        <f t="shared" si="2"/>
        <v>4.6385217864683321</v>
      </c>
      <c r="I64">
        <v>62.903913043478262</v>
      </c>
      <c r="J64">
        <f t="shared" si="3"/>
        <v>4.1416083723195429</v>
      </c>
      <c r="K64">
        <f t="shared" si="4"/>
        <v>60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5">
      <c r="A65" s="1" t="s">
        <v>177</v>
      </c>
      <c r="B65" s="4">
        <v>88706</v>
      </c>
      <c r="C65" s="7" t="s">
        <v>178</v>
      </c>
      <c r="D65" s="6" t="s">
        <v>179</v>
      </c>
      <c r="E65" s="3">
        <f t="shared" si="0"/>
        <v>0.26781337165074803</v>
      </c>
      <c r="F65">
        <f t="shared" si="1"/>
        <v>-1.317464915490091</v>
      </c>
      <c r="G65">
        <v>97.291889999999995</v>
      </c>
      <c r="H65">
        <f t="shared" si="2"/>
        <v>4.577715635255629</v>
      </c>
      <c r="I65">
        <v>48.933181818181822</v>
      </c>
      <c r="J65">
        <f t="shared" si="3"/>
        <v>3.8904557311488297</v>
      </c>
      <c r="K65">
        <f t="shared" si="4"/>
        <v>61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s="1" t="s">
        <v>180</v>
      </c>
      <c r="B66" s="4">
        <v>73721</v>
      </c>
      <c r="C66" s="7" t="s">
        <v>181</v>
      </c>
      <c r="D66" s="6" t="s">
        <v>182</v>
      </c>
      <c r="E66" s="3">
        <f t="shared" si="0"/>
        <v>0.26624493927125503</v>
      </c>
      <c r="F66">
        <f t="shared" si="1"/>
        <v>-1.3233385695710518</v>
      </c>
      <c r="G66">
        <v>97.991839999999996</v>
      </c>
      <c r="H66">
        <f t="shared" si="2"/>
        <v>4.5848842098977016</v>
      </c>
      <c r="I66">
        <v>58.253999999999998</v>
      </c>
      <c r="J66">
        <f t="shared" si="3"/>
        <v>4.0648127596160624</v>
      </c>
      <c r="K66">
        <f t="shared" si="4"/>
        <v>62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s="1" t="s">
        <v>183</v>
      </c>
      <c r="B67" s="4">
        <v>123450</v>
      </c>
      <c r="C67" s="7" t="s">
        <v>184</v>
      </c>
      <c r="D67" s="6" t="s">
        <v>185</v>
      </c>
      <c r="E67" s="3">
        <f t="shared" ref="E67:E124" si="5">C67/D67</f>
        <v>0.26186560345543647</v>
      </c>
      <c r="F67">
        <f t="shared" ref="F67:F124" si="6">LN(E67)</f>
        <v>-1.3399238707425845</v>
      </c>
      <c r="G67">
        <v>109.6909</v>
      </c>
      <c r="H67">
        <f t="shared" ref="H67:H124" si="7">LN(G67)</f>
        <v>4.6976664103307799</v>
      </c>
      <c r="I67">
        <v>56.524545454545454</v>
      </c>
      <c r="J67">
        <f t="shared" ref="J67:J124" si="8">LN(I67)</f>
        <v>4.0346749766375911</v>
      </c>
      <c r="K67">
        <f t="shared" si="4"/>
        <v>63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s="1" t="s">
        <v>186</v>
      </c>
      <c r="B68" s="4">
        <v>70862</v>
      </c>
      <c r="C68" s="7" t="s">
        <v>187</v>
      </c>
      <c r="D68" s="6" t="s">
        <v>188</v>
      </c>
      <c r="E68" s="3">
        <f t="shared" si="5"/>
        <v>0.26039314094521121</v>
      </c>
      <c r="F68">
        <f t="shared" si="6"/>
        <v>-1.3455627094508169</v>
      </c>
      <c r="G68">
        <v>97.59187</v>
      </c>
      <c r="H68">
        <f t="shared" si="7"/>
        <v>4.5807941907691498</v>
      </c>
      <c r="I68">
        <v>59.826363636363638</v>
      </c>
      <c r="J68">
        <f t="shared" si="8"/>
        <v>4.0914464272891751</v>
      </c>
      <c r="K68">
        <f t="shared" ref="K68:K124" si="9">K67+1</f>
        <v>64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5">
      <c r="A69" s="1" t="s">
        <v>189</v>
      </c>
      <c r="B69" s="4">
        <v>88707</v>
      </c>
      <c r="C69" s="7" t="s">
        <v>190</v>
      </c>
      <c r="D69" s="6" t="s">
        <v>191</v>
      </c>
      <c r="E69" s="3">
        <f t="shared" si="5"/>
        <v>0.25451155853840418</v>
      </c>
      <c r="F69">
        <f t="shared" si="6"/>
        <v>-1.368409027369017</v>
      </c>
      <c r="G69">
        <v>91.192400000000006</v>
      </c>
      <c r="H69">
        <f t="shared" si="7"/>
        <v>4.5129715602745373</v>
      </c>
      <c r="I69">
        <v>65.19380952380952</v>
      </c>
      <c r="J69">
        <f t="shared" si="8"/>
        <v>4.177364518471113</v>
      </c>
      <c r="K69">
        <f t="shared" si="9"/>
        <v>65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5">
      <c r="A70" s="1" t="s">
        <v>192</v>
      </c>
      <c r="B70" s="4">
        <v>77490</v>
      </c>
      <c r="C70" s="7" t="s">
        <v>193</v>
      </c>
      <c r="D70" s="6" t="s">
        <v>194</v>
      </c>
      <c r="E70" s="3">
        <f t="shared" si="5"/>
        <v>0.25141818181818182</v>
      </c>
      <c r="F70">
        <f t="shared" si="6"/>
        <v>-1.3806376631730928</v>
      </c>
      <c r="G70">
        <v>103.3914</v>
      </c>
      <c r="H70">
        <f t="shared" si="7"/>
        <v>4.6385217864683321</v>
      </c>
      <c r="I70">
        <v>62.62</v>
      </c>
      <c r="J70">
        <f t="shared" si="8"/>
        <v>4.1370847158982595</v>
      </c>
      <c r="K70">
        <f t="shared" si="9"/>
        <v>66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5">
      <c r="A71" s="1" t="s">
        <v>195</v>
      </c>
      <c r="B71" s="4">
        <v>79060</v>
      </c>
      <c r="C71" s="7" t="s">
        <v>196</v>
      </c>
      <c r="D71" s="6" t="s">
        <v>197</v>
      </c>
      <c r="E71" s="3">
        <f t="shared" si="5"/>
        <v>0.25432489451476792</v>
      </c>
      <c r="F71">
        <f t="shared" si="6"/>
        <v>-1.3691427170678965</v>
      </c>
      <c r="G71">
        <v>105.49120000000001</v>
      </c>
      <c r="H71">
        <f t="shared" si="7"/>
        <v>4.6586275371148451</v>
      </c>
      <c r="I71">
        <v>56.829565217391298</v>
      </c>
      <c r="J71">
        <f t="shared" si="8"/>
        <v>4.0400567046971725</v>
      </c>
      <c r="K71">
        <f t="shared" si="9"/>
        <v>67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</row>
    <row r="72" spans="1:22" x14ac:dyDescent="0.35">
      <c r="A72" s="1" t="s">
        <v>198</v>
      </c>
      <c r="B72" s="4">
        <v>106357</v>
      </c>
      <c r="C72" s="7" t="s">
        <v>199</v>
      </c>
      <c r="D72" s="6" t="s">
        <v>200</v>
      </c>
      <c r="E72" s="3">
        <f t="shared" si="5"/>
        <v>0.26281749573967378</v>
      </c>
      <c r="F72">
        <f t="shared" si="6"/>
        <v>-1.3362954202357764</v>
      </c>
      <c r="G72">
        <v>91.192400000000006</v>
      </c>
      <c r="H72">
        <f t="shared" si="7"/>
        <v>4.5129715602745373</v>
      </c>
      <c r="I72">
        <v>47.533809523809524</v>
      </c>
      <c r="J72">
        <f t="shared" si="8"/>
        <v>3.8614412372943643</v>
      </c>
      <c r="K72">
        <f t="shared" si="9"/>
        <v>68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</row>
    <row r="73" spans="1:22" x14ac:dyDescent="0.35">
      <c r="A73" s="1" t="s">
        <v>201</v>
      </c>
      <c r="B73" s="4">
        <v>111006</v>
      </c>
      <c r="C73" s="7" t="s">
        <v>202</v>
      </c>
      <c r="D73" s="6" t="s">
        <v>203</v>
      </c>
      <c r="E73" s="3">
        <f t="shared" si="5"/>
        <v>0.2734142488984953</v>
      </c>
      <c r="F73">
        <f t="shared" si="6"/>
        <v>-1.2967672386454685</v>
      </c>
      <c r="G73">
        <v>103.2914</v>
      </c>
      <c r="H73">
        <f t="shared" si="7"/>
        <v>4.6375541199977484</v>
      </c>
      <c r="I73">
        <v>48.030454545454553</v>
      </c>
      <c r="J73">
        <f t="shared" si="8"/>
        <v>3.8718352794140576</v>
      </c>
      <c r="K73">
        <f t="shared" si="9"/>
        <v>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</row>
    <row r="74" spans="1:22" x14ac:dyDescent="0.35">
      <c r="A74" s="1" t="s">
        <v>204</v>
      </c>
      <c r="B74" s="4">
        <v>112937</v>
      </c>
      <c r="C74" s="7" t="s">
        <v>205</v>
      </c>
      <c r="D74" s="6" t="s">
        <v>206</v>
      </c>
      <c r="E74" s="3">
        <f t="shared" si="5"/>
        <v>0.27258870564717635</v>
      </c>
      <c r="F74">
        <f t="shared" si="6"/>
        <v>-1.2997911925399679</v>
      </c>
      <c r="G74">
        <v>101.4915</v>
      </c>
      <c r="H74">
        <f t="shared" si="7"/>
        <v>4.6199750511327657</v>
      </c>
      <c r="I74">
        <v>48.906363636363643</v>
      </c>
      <c r="J74">
        <f t="shared" si="8"/>
        <v>3.8899075237268668</v>
      </c>
      <c r="K74">
        <f t="shared" si="9"/>
        <v>70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1:22" x14ac:dyDescent="0.35">
      <c r="A75" s="1" t="s">
        <v>207</v>
      </c>
      <c r="B75" s="4">
        <v>122062</v>
      </c>
      <c r="C75" s="7" t="s">
        <v>208</v>
      </c>
      <c r="D75" s="6" t="s">
        <v>209</v>
      </c>
      <c r="E75" s="3">
        <f t="shared" si="5"/>
        <v>0.26770586795070594</v>
      </c>
      <c r="F75">
        <f t="shared" si="6"/>
        <v>-1.3178664088204379</v>
      </c>
      <c r="G75">
        <v>99.791690000000003</v>
      </c>
      <c r="H75">
        <f t="shared" si="7"/>
        <v>4.6030849133175016</v>
      </c>
      <c r="I75">
        <v>45.095238095238102</v>
      </c>
      <c r="J75">
        <f t="shared" si="8"/>
        <v>3.8087766554626552</v>
      </c>
      <c r="K75">
        <f t="shared" si="9"/>
        <v>71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</row>
    <row r="76" spans="1:22" x14ac:dyDescent="0.35">
      <c r="A76" s="1" t="s">
        <v>210</v>
      </c>
      <c r="B76" s="4">
        <v>133194</v>
      </c>
      <c r="C76" s="7" t="s">
        <v>211</v>
      </c>
      <c r="D76" s="6" t="s">
        <v>212</v>
      </c>
      <c r="E76" s="3">
        <f t="shared" si="5"/>
        <v>0.27071850393700786</v>
      </c>
      <c r="F76">
        <f t="shared" si="6"/>
        <v>-1.3066757288169601</v>
      </c>
      <c r="G76">
        <v>101.5915</v>
      </c>
      <c r="H76">
        <f t="shared" si="7"/>
        <v>4.6209598702272467</v>
      </c>
      <c r="I76">
        <v>38.525217391304352</v>
      </c>
      <c r="J76">
        <f t="shared" si="8"/>
        <v>3.6513130240534473</v>
      </c>
      <c r="K76">
        <f t="shared" si="9"/>
        <v>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5">
      <c r="A77" s="1" t="s">
        <v>213</v>
      </c>
      <c r="B77" s="4">
        <v>107128</v>
      </c>
      <c r="C77" s="7" t="s">
        <v>214</v>
      </c>
      <c r="D77" s="6" t="s">
        <v>179</v>
      </c>
      <c r="E77" s="3">
        <f t="shared" si="5"/>
        <v>0.28437156622432591</v>
      </c>
      <c r="F77">
        <f t="shared" si="6"/>
        <v>-1.2574735641653807</v>
      </c>
      <c r="G77">
        <v>93.692189999999997</v>
      </c>
      <c r="H77">
        <f t="shared" si="7"/>
        <v>4.540014834649881</v>
      </c>
      <c r="I77">
        <v>32.045238095238098</v>
      </c>
      <c r="J77">
        <f t="shared" si="8"/>
        <v>3.4671485949563019</v>
      </c>
      <c r="K77">
        <f t="shared" si="9"/>
        <v>73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s="1" t="s">
        <v>215</v>
      </c>
      <c r="B78" s="4">
        <v>93002</v>
      </c>
      <c r="C78" s="7">
        <v>33.552</v>
      </c>
      <c r="D78" s="6" t="s">
        <v>216</v>
      </c>
      <c r="E78" s="3">
        <f t="shared" si="5"/>
        <v>0.29152836910244156</v>
      </c>
      <c r="F78">
        <f t="shared" si="6"/>
        <v>-1.2326179568208355</v>
      </c>
      <c r="G78">
        <v>98.191820000000007</v>
      </c>
      <c r="H78">
        <f t="shared" si="7"/>
        <v>4.5869229125018318</v>
      </c>
      <c r="I78">
        <v>33.762380952380951</v>
      </c>
      <c r="J78">
        <f t="shared" si="8"/>
        <v>3.519347193081594</v>
      </c>
      <c r="K78">
        <f t="shared" si="9"/>
        <v>74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s="1" t="s">
        <v>217</v>
      </c>
      <c r="B79" s="4">
        <v>158494</v>
      </c>
      <c r="C79" s="7" t="s">
        <v>218</v>
      </c>
      <c r="D79" s="6" t="s">
        <v>219</v>
      </c>
      <c r="E79" s="3">
        <f t="shared" si="5"/>
        <v>0.29057221190413018</v>
      </c>
      <c r="F79">
        <f t="shared" si="6"/>
        <v>-1.2359031555973226</v>
      </c>
      <c r="G79">
        <v>110.99079999999999</v>
      </c>
      <c r="H79">
        <f t="shared" si="7"/>
        <v>4.7094473149944749</v>
      </c>
      <c r="I79">
        <v>39.792173913043477</v>
      </c>
      <c r="J79">
        <f t="shared" si="8"/>
        <v>3.6836702576044602</v>
      </c>
      <c r="K79">
        <f t="shared" si="9"/>
        <v>75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5">
      <c r="A80" s="1" t="s">
        <v>220</v>
      </c>
      <c r="B80" s="4">
        <v>74962</v>
      </c>
      <c r="C80" s="7" t="s">
        <v>221</v>
      </c>
      <c r="D80" s="6" t="s">
        <v>222</v>
      </c>
      <c r="E80" s="3">
        <f t="shared" si="5"/>
        <v>0.29421660452850773</v>
      </c>
      <c r="F80">
        <f t="shared" si="6"/>
        <v>-1.2234390328136138</v>
      </c>
      <c r="G80">
        <v>95.492040000000003</v>
      </c>
      <c r="H80">
        <f t="shared" si="7"/>
        <v>4.5590428932274749</v>
      </c>
      <c r="I80">
        <v>43.33047619047619</v>
      </c>
      <c r="J80">
        <f t="shared" si="8"/>
        <v>3.7688562255477924</v>
      </c>
      <c r="K80">
        <f t="shared" si="9"/>
        <v>76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5">
      <c r="A81" s="1" t="s">
        <v>223</v>
      </c>
      <c r="B81" s="4">
        <v>102789</v>
      </c>
      <c r="C81" s="7" t="s">
        <v>224</v>
      </c>
      <c r="D81" s="6" t="s">
        <v>225</v>
      </c>
      <c r="E81" s="3">
        <f t="shared" si="5"/>
        <v>0.2986704566293783</v>
      </c>
      <c r="F81">
        <f t="shared" si="6"/>
        <v>-1.2084144651485353</v>
      </c>
      <c r="G81">
        <v>91.392390000000006</v>
      </c>
      <c r="H81">
        <f t="shared" si="7"/>
        <v>4.5151622145998926</v>
      </c>
      <c r="I81">
        <v>47.734999999999999</v>
      </c>
      <c r="J81">
        <f t="shared" si="8"/>
        <v>3.8656648814499963</v>
      </c>
      <c r="K81">
        <f t="shared" si="9"/>
        <v>77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5">
      <c r="A82" s="1" t="s">
        <v>226</v>
      </c>
      <c r="B82" s="4">
        <v>91458</v>
      </c>
      <c r="C82" s="7" t="s">
        <v>227</v>
      </c>
      <c r="D82" s="6" t="s">
        <v>228</v>
      </c>
      <c r="E82" s="3">
        <f t="shared" si="5"/>
        <v>0.30713811735709545</v>
      </c>
      <c r="F82">
        <f t="shared" si="6"/>
        <v>-1.1804577388954338</v>
      </c>
      <c r="G82">
        <v>101.9915</v>
      </c>
      <c r="H82">
        <f t="shared" si="7"/>
        <v>4.6248894764785229</v>
      </c>
      <c r="I82">
        <v>49.877272727272732</v>
      </c>
      <c r="J82">
        <f t="shared" si="8"/>
        <v>3.9095654426384376</v>
      </c>
      <c r="K82">
        <f t="shared" si="9"/>
        <v>78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5">
      <c r="A83" s="1" t="s">
        <v>229</v>
      </c>
      <c r="B83" s="4">
        <v>89690</v>
      </c>
      <c r="C83" s="7" t="s">
        <v>230</v>
      </c>
      <c r="D83" s="6" t="s">
        <v>231</v>
      </c>
      <c r="E83" s="3">
        <f t="shared" si="5"/>
        <v>0.30897374242569975</v>
      </c>
      <c r="F83">
        <f t="shared" si="6"/>
        <v>-1.1744989816636631</v>
      </c>
      <c r="G83">
        <v>101.2916</v>
      </c>
      <c r="H83">
        <f t="shared" si="7"/>
        <v>4.6180034858025971</v>
      </c>
      <c r="I83">
        <v>46.598571428571432</v>
      </c>
      <c r="J83">
        <f t="shared" si="8"/>
        <v>3.8415698846224546</v>
      </c>
      <c r="K83">
        <f t="shared" si="9"/>
        <v>79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s="1" t="s">
        <v>232</v>
      </c>
      <c r="B84" s="4">
        <v>146755</v>
      </c>
      <c r="C84" s="7" t="s">
        <v>233</v>
      </c>
      <c r="D84" s="6" t="s">
        <v>234</v>
      </c>
      <c r="E84" s="3">
        <f t="shared" si="5"/>
        <v>0.31181001283697052</v>
      </c>
      <c r="F84">
        <f t="shared" si="6"/>
        <v>-1.1653612098626214</v>
      </c>
      <c r="G84">
        <v>95.092079999999996</v>
      </c>
      <c r="H84">
        <f t="shared" si="7"/>
        <v>4.554845685326212</v>
      </c>
      <c r="I84">
        <v>47.052173913043482</v>
      </c>
      <c r="J84">
        <f t="shared" si="8"/>
        <v>3.8512570692794852</v>
      </c>
      <c r="K84">
        <f t="shared" si="9"/>
        <v>80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</row>
    <row r="85" spans="1:22" x14ac:dyDescent="0.35">
      <c r="A85" s="1" t="s">
        <v>235</v>
      </c>
      <c r="B85" s="4">
        <v>122326</v>
      </c>
      <c r="C85" s="7" t="s">
        <v>236</v>
      </c>
      <c r="D85" s="6" t="s">
        <v>237</v>
      </c>
      <c r="E85" s="3">
        <f t="shared" si="5"/>
        <v>0.30883853247008047</v>
      </c>
      <c r="F85">
        <f t="shared" si="6"/>
        <v>-1.1749366873010292</v>
      </c>
      <c r="G85">
        <v>104.6913</v>
      </c>
      <c r="H85">
        <f t="shared" si="7"/>
        <v>4.6510160198680737</v>
      </c>
      <c r="I85">
        <v>47.37681818181818</v>
      </c>
      <c r="J85">
        <f t="shared" si="8"/>
        <v>3.8581330411741899</v>
      </c>
      <c r="K85">
        <f t="shared" si="9"/>
        <v>81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</row>
    <row r="86" spans="1:22" x14ac:dyDescent="0.35">
      <c r="A86" s="1" t="s">
        <v>238</v>
      </c>
      <c r="B86" s="4">
        <v>118823</v>
      </c>
      <c r="C86" s="7" t="s">
        <v>239</v>
      </c>
      <c r="D86" s="6" t="s">
        <v>240</v>
      </c>
      <c r="E86" s="3">
        <f t="shared" si="5"/>
        <v>0.30409362357927183</v>
      </c>
      <c r="F86">
        <f t="shared" si="6"/>
        <v>-1.1904196526894135</v>
      </c>
      <c r="G86">
        <v>100.3916</v>
      </c>
      <c r="H86">
        <f t="shared" si="7"/>
        <v>4.609078538418844</v>
      </c>
      <c r="I86">
        <v>51.413809523809519</v>
      </c>
      <c r="J86">
        <f t="shared" si="8"/>
        <v>3.93990680415479</v>
      </c>
      <c r="K86">
        <f t="shared" si="9"/>
        <v>82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</row>
    <row r="87" spans="1:22" x14ac:dyDescent="0.35">
      <c r="A87" s="1" t="s">
        <v>241</v>
      </c>
      <c r="B87" s="4">
        <v>142221</v>
      </c>
      <c r="C87" s="7" t="s">
        <v>242</v>
      </c>
      <c r="D87" s="6" t="s">
        <v>243</v>
      </c>
      <c r="E87" s="3">
        <f t="shared" si="5"/>
        <v>0.29509384872700239</v>
      </c>
      <c r="F87">
        <f t="shared" si="6"/>
        <v>-1.2204618419573681</v>
      </c>
      <c r="G87">
        <v>103.7914</v>
      </c>
      <c r="H87">
        <f t="shared" si="7"/>
        <v>4.6423831156616364</v>
      </c>
      <c r="I87">
        <v>46.94227272727273</v>
      </c>
      <c r="J87">
        <f t="shared" si="8"/>
        <v>3.8489186069600394</v>
      </c>
      <c r="K87">
        <f t="shared" si="9"/>
        <v>83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</row>
    <row r="88" spans="1:22" x14ac:dyDescent="0.35">
      <c r="A88" s="1" t="s">
        <v>244</v>
      </c>
      <c r="B88" s="4">
        <v>131585</v>
      </c>
      <c r="C88" s="7" t="s">
        <v>245</v>
      </c>
      <c r="D88" s="6" t="s">
        <v>246</v>
      </c>
      <c r="E88" s="3">
        <f t="shared" si="5"/>
        <v>0.27620362381363245</v>
      </c>
      <c r="F88">
        <f t="shared" si="6"/>
        <v>-1.2866169178409064</v>
      </c>
      <c r="G88">
        <v>103.6914</v>
      </c>
      <c r="H88">
        <f t="shared" si="7"/>
        <v>4.6414191802632025</v>
      </c>
      <c r="I88">
        <v>55.022727272727273</v>
      </c>
      <c r="J88">
        <f t="shared" si="8"/>
        <v>4.0077463230197976</v>
      </c>
      <c r="K88">
        <f t="shared" si="9"/>
        <v>84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s="1" t="s">
        <v>247</v>
      </c>
      <c r="B89" s="4">
        <v>97761</v>
      </c>
      <c r="C89" s="7" t="s">
        <v>248</v>
      </c>
      <c r="D89" s="6" t="s">
        <v>249</v>
      </c>
      <c r="E89" s="3">
        <f t="shared" si="5"/>
        <v>0.27661873638344225</v>
      </c>
      <c r="F89">
        <f t="shared" si="6"/>
        <v>-1.2851151238552878</v>
      </c>
      <c r="G89">
        <v>95.592029999999994</v>
      </c>
      <c r="H89">
        <f t="shared" si="7"/>
        <v>4.5600894483811967</v>
      </c>
      <c r="I89">
        <v>55.710909090909091</v>
      </c>
      <c r="J89">
        <f t="shared" si="8"/>
        <v>4.0201759821711516</v>
      </c>
      <c r="K89">
        <f t="shared" si="9"/>
        <v>85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s="1" t="s">
        <v>250</v>
      </c>
      <c r="B90" s="4">
        <v>114082</v>
      </c>
      <c r="C90" s="7" t="s">
        <v>251</v>
      </c>
      <c r="D90" s="6" t="s">
        <v>219</v>
      </c>
      <c r="E90" s="3">
        <f t="shared" si="5"/>
        <v>0.27326434951799772</v>
      </c>
      <c r="F90">
        <f t="shared" si="6"/>
        <v>-1.2973156390572957</v>
      </c>
      <c r="G90">
        <v>100.49160000000001</v>
      </c>
      <c r="H90">
        <f t="shared" si="7"/>
        <v>4.6100741419164004</v>
      </c>
      <c r="I90">
        <v>56.095999999999997</v>
      </c>
      <c r="J90">
        <f t="shared" si="8"/>
        <v>4.0270645087388237</v>
      </c>
      <c r="K90">
        <f t="shared" si="9"/>
        <v>86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s="1" t="s">
        <v>252</v>
      </c>
      <c r="B91" s="4">
        <v>158219</v>
      </c>
      <c r="C91" s="7" t="s">
        <v>253</v>
      </c>
      <c r="D91" s="6" t="s">
        <v>254</v>
      </c>
      <c r="E91" s="3">
        <f t="shared" si="5"/>
        <v>0.27128572692682063</v>
      </c>
      <c r="F91">
        <f t="shared" si="6"/>
        <v>-1.3045826706281438</v>
      </c>
      <c r="G91">
        <v>112.6906</v>
      </c>
      <c r="H91">
        <f t="shared" si="7"/>
        <v>4.7246460102911962</v>
      </c>
      <c r="I91">
        <v>52.655217391304348</v>
      </c>
      <c r="J91">
        <f t="shared" si="8"/>
        <v>3.9637653294215944</v>
      </c>
      <c r="K91">
        <f t="shared" si="9"/>
        <v>87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5">
      <c r="A92" s="1" t="s">
        <v>255</v>
      </c>
      <c r="B92" s="4">
        <v>90820</v>
      </c>
      <c r="C92" s="7" t="s">
        <v>256</v>
      </c>
      <c r="D92" s="6" t="s">
        <v>257</v>
      </c>
      <c r="E92" s="3">
        <f t="shared" si="5"/>
        <v>0.2761221152098855</v>
      </c>
      <c r="F92">
        <f t="shared" si="6"/>
        <v>-1.2869120647029111</v>
      </c>
      <c r="G92">
        <v>99.191730000000007</v>
      </c>
      <c r="H92">
        <f t="shared" si="7"/>
        <v>4.597054643880127</v>
      </c>
      <c r="I92">
        <v>53.978000000000002</v>
      </c>
      <c r="J92">
        <f t="shared" si="8"/>
        <v>3.9885765561439217</v>
      </c>
      <c r="K92">
        <f t="shared" si="9"/>
        <v>88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5">
      <c r="A93" s="1" t="s">
        <v>258</v>
      </c>
      <c r="B93" s="4">
        <v>110099</v>
      </c>
      <c r="C93" s="7" t="s">
        <v>259</v>
      </c>
      <c r="D93" s="6" t="s">
        <v>260</v>
      </c>
      <c r="E93" s="3">
        <f t="shared" si="5"/>
        <v>0.26862640299305179</v>
      </c>
      <c r="F93">
        <f t="shared" si="6"/>
        <v>-1.3144337011645979</v>
      </c>
      <c r="G93">
        <v>95.892009999999999</v>
      </c>
      <c r="H93">
        <f t="shared" si="7"/>
        <v>4.5632226624643071</v>
      </c>
      <c r="I93">
        <v>51.374347826086961</v>
      </c>
      <c r="J93">
        <f t="shared" si="8"/>
        <v>3.9391389783530886</v>
      </c>
      <c r="K93">
        <f t="shared" si="9"/>
        <v>89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5">
      <c r="A94" s="1" t="s">
        <v>261</v>
      </c>
      <c r="B94" s="4">
        <v>102757</v>
      </c>
      <c r="C94" s="7" t="s">
        <v>262</v>
      </c>
      <c r="D94" s="6" t="s">
        <v>263</v>
      </c>
      <c r="E94" s="3">
        <f t="shared" si="5"/>
        <v>0.27287891082859977</v>
      </c>
      <c r="F94">
        <f t="shared" si="6"/>
        <v>-1.2987271322729996</v>
      </c>
      <c r="G94">
        <v>105.8912</v>
      </c>
      <c r="H94">
        <f t="shared" si="7"/>
        <v>4.6624121518930242</v>
      </c>
      <c r="I94">
        <v>47.652727272727269</v>
      </c>
      <c r="J94">
        <f t="shared" si="8"/>
        <v>3.863939863986503</v>
      </c>
      <c r="K94">
        <f t="shared" si="9"/>
        <v>90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s="1" t="s">
        <v>264</v>
      </c>
      <c r="B95" s="4">
        <v>93924</v>
      </c>
      <c r="C95" s="7" t="s">
        <v>265</v>
      </c>
      <c r="D95" s="6" t="s">
        <v>266</v>
      </c>
      <c r="E95" s="3">
        <f t="shared" si="5"/>
        <v>0.27079811371118423</v>
      </c>
      <c r="F95">
        <f t="shared" si="6"/>
        <v>-1.3063817035842882</v>
      </c>
      <c r="G95">
        <v>103.9913</v>
      </c>
      <c r="H95">
        <f t="shared" si="7"/>
        <v>4.6443072417960405</v>
      </c>
      <c r="I95">
        <v>49.25333333333333</v>
      </c>
      <c r="J95">
        <f t="shared" si="8"/>
        <v>3.8969770472228746</v>
      </c>
      <c r="K95">
        <f t="shared" si="9"/>
        <v>91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</row>
    <row r="96" spans="1:22" x14ac:dyDescent="0.35">
      <c r="A96" s="1" t="s">
        <v>267</v>
      </c>
      <c r="B96" s="4">
        <v>135532</v>
      </c>
      <c r="C96" s="7" t="s">
        <v>268</v>
      </c>
      <c r="D96" s="6" t="s">
        <v>269</v>
      </c>
      <c r="E96" s="3">
        <f t="shared" si="5"/>
        <v>0.27534346283322719</v>
      </c>
      <c r="F96">
        <f t="shared" si="6"/>
        <v>-1.2897360048548139</v>
      </c>
      <c r="G96">
        <v>98.191820000000007</v>
      </c>
      <c r="H96">
        <f t="shared" si="7"/>
        <v>4.5869229125018318</v>
      </c>
      <c r="I96">
        <v>51.927826086956522</v>
      </c>
      <c r="J96">
        <f t="shared" si="8"/>
        <v>3.9498547946067122</v>
      </c>
      <c r="K96">
        <f t="shared" si="9"/>
        <v>92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</row>
    <row r="97" spans="1:22" x14ac:dyDescent="0.35">
      <c r="A97" s="1" t="s">
        <v>270</v>
      </c>
      <c r="B97" s="4">
        <v>128789</v>
      </c>
      <c r="C97" s="7" t="s">
        <v>271</v>
      </c>
      <c r="D97" s="6" t="s">
        <v>272</v>
      </c>
      <c r="E97" s="3">
        <f t="shared" si="5"/>
        <v>0.27230852601156069</v>
      </c>
      <c r="F97">
        <f t="shared" si="6"/>
        <v>-1.300819568696165</v>
      </c>
      <c r="G97">
        <v>105.49120000000001</v>
      </c>
      <c r="H97">
        <f t="shared" si="7"/>
        <v>4.6586275371148451</v>
      </c>
      <c r="I97">
        <v>55.557619047619049</v>
      </c>
      <c r="J97">
        <f t="shared" si="8"/>
        <v>4.0174206632533362</v>
      </c>
      <c r="K97">
        <f t="shared" si="9"/>
        <v>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</row>
    <row r="98" spans="1:22" x14ac:dyDescent="0.35">
      <c r="A98" s="1" t="s">
        <v>273</v>
      </c>
      <c r="B98" s="4">
        <v>123206</v>
      </c>
      <c r="C98" s="7" t="s">
        <v>274</v>
      </c>
      <c r="D98" s="6" t="s">
        <v>275</v>
      </c>
      <c r="E98" s="3">
        <f t="shared" si="5"/>
        <v>0.2678735835694051</v>
      </c>
      <c r="F98">
        <f t="shared" si="6"/>
        <v>-1.3172401128574196</v>
      </c>
      <c r="G98">
        <v>104.0913</v>
      </c>
      <c r="H98">
        <f t="shared" si="7"/>
        <v>4.6452683986414334</v>
      </c>
      <c r="I98">
        <v>57.536363636363639</v>
      </c>
      <c r="J98">
        <f t="shared" si="8"/>
        <v>4.0524171589828892</v>
      </c>
      <c r="K98">
        <f t="shared" si="9"/>
        <v>94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</row>
    <row r="99" spans="1:22" x14ac:dyDescent="0.35">
      <c r="A99" s="1" t="s">
        <v>276</v>
      </c>
      <c r="B99" s="4">
        <v>150268</v>
      </c>
      <c r="C99" s="7" t="s">
        <v>277</v>
      </c>
      <c r="D99" s="6" t="s">
        <v>278</v>
      </c>
      <c r="E99" s="3">
        <f t="shared" si="5"/>
        <v>0.26648375962474558</v>
      </c>
      <c r="F99">
        <f t="shared" si="6"/>
        <v>-1.3224419767275124</v>
      </c>
      <c r="G99">
        <v>105.8912</v>
      </c>
      <c r="H99">
        <f t="shared" si="7"/>
        <v>4.6624121518930242</v>
      </c>
      <c r="I99">
        <v>62.836363636363643</v>
      </c>
      <c r="J99">
        <f t="shared" si="8"/>
        <v>4.1405339446914757</v>
      </c>
      <c r="K99">
        <f t="shared" si="9"/>
        <v>95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</row>
    <row r="100" spans="1:22" x14ac:dyDescent="0.35">
      <c r="A100" s="1" t="s">
        <v>279</v>
      </c>
      <c r="B100" s="4">
        <v>143789</v>
      </c>
      <c r="C100" s="7" t="s">
        <v>280</v>
      </c>
      <c r="D100" s="6" t="s">
        <v>281</v>
      </c>
      <c r="E100" s="3">
        <f t="shared" si="5"/>
        <v>0.26545374059318283</v>
      </c>
      <c r="F100">
        <f t="shared" si="6"/>
        <v>-1.3263146885347592</v>
      </c>
      <c r="G100">
        <v>107.19110000000001</v>
      </c>
      <c r="H100">
        <f t="shared" si="7"/>
        <v>4.6746132228020931</v>
      </c>
      <c r="I100">
        <v>64.064285714285717</v>
      </c>
      <c r="J100">
        <f t="shared" si="8"/>
        <v>4.1598870435086992</v>
      </c>
      <c r="K100">
        <f t="shared" si="9"/>
        <v>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s="1" t="s">
        <v>282</v>
      </c>
      <c r="B101" s="4">
        <v>123980</v>
      </c>
      <c r="C101" s="7" t="s">
        <v>283</v>
      </c>
      <c r="D101" s="6" t="s">
        <v>284</v>
      </c>
      <c r="E101" s="3">
        <f t="shared" si="5"/>
        <v>0.26577593211158257</v>
      </c>
      <c r="F101">
        <f t="shared" si="6"/>
        <v>-1.3251016856681659</v>
      </c>
      <c r="G101">
        <v>97.142579999999995</v>
      </c>
      <c r="H101">
        <f t="shared" si="7"/>
        <v>4.5761797961695931</v>
      </c>
      <c r="I101">
        <v>68.889130434782615</v>
      </c>
      <c r="J101">
        <f t="shared" si="8"/>
        <v>4.2324984070081317</v>
      </c>
      <c r="K101">
        <f t="shared" si="9"/>
        <v>97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35">
      <c r="A102" s="1" t="s">
        <v>285</v>
      </c>
      <c r="B102" s="4">
        <v>90718</v>
      </c>
      <c r="C102" s="7" t="s">
        <v>286</v>
      </c>
      <c r="D102" s="6" t="s">
        <v>287</v>
      </c>
      <c r="E102" s="3">
        <f t="shared" si="5"/>
        <v>0.27162187210379979</v>
      </c>
      <c r="F102">
        <f t="shared" si="6"/>
        <v>-1.3033443559663715</v>
      </c>
      <c r="G102">
        <v>101.2433</v>
      </c>
      <c r="H102">
        <f t="shared" si="7"/>
        <v>4.6175265309576234</v>
      </c>
      <c r="I102">
        <v>65.6965</v>
      </c>
      <c r="J102">
        <f t="shared" si="8"/>
        <v>4.1850456516210048</v>
      </c>
      <c r="K102">
        <f t="shared" si="9"/>
        <v>98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5">
      <c r="A103" s="1" t="s">
        <v>288</v>
      </c>
      <c r="B103" s="4">
        <v>133683</v>
      </c>
      <c r="C103" s="7" t="s">
        <v>289</v>
      </c>
      <c r="D103" s="6" t="s">
        <v>290</v>
      </c>
      <c r="E103" s="3">
        <f t="shared" si="5"/>
        <v>0.275622641509434</v>
      </c>
      <c r="F103">
        <f t="shared" si="6"/>
        <v>-1.2887225896995091</v>
      </c>
      <c r="G103">
        <v>115.5505</v>
      </c>
      <c r="H103">
        <f t="shared" si="7"/>
        <v>4.7497076638421394</v>
      </c>
      <c r="I103">
        <v>66.891818181818181</v>
      </c>
      <c r="J103">
        <f t="shared" si="8"/>
        <v>4.2030766604295842</v>
      </c>
      <c r="K103">
        <f t="shared" si="9"/>
        <v>99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5">
      <c r="A104" s="1" t="s">
        <v>291</v>
      </c>
      <c r="B104" s="4">
        <v>80223</v>
      </c>
      <c r="C104" s="7" t="s">
        <v>37</v>
      </c>
      <c r="D104" s="6" t="s">
        <v>292</v>
      </c>
      <c r="E104" s="3">
        <f t="shared" si="5"/>
        <v>0.27338169642857141</v>
      </c>
      <c r="F104">
        <f t="shared" si="6"/>
        <v>-1.2968863048903467</v>
      </c>
      <c r="G104">
        <v>100.8788</v>
      </c>
      <c r="H104">
        <f t="shared" si="7"/>
        <v>4.6139197962647405</v>
      </c>
      <c r="I104">
        <v>71.932857142857145</v>
      </c>
      <c r="J104">
        <f t="shared" si="8"/>
        <v>4.2757331442478748</v>
      </c>
      <c r="K104">
        <f t="shared" si="9"/>
        <v>100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5">
      <c r="A105" s="1" t="s">
        <v>293</v>
      </c>
      <c r="B105" s="4">
        <v>103726</v>
      </c>
      <c r="C105" s="7" t="s">
        <v>294</v>
      </c>
      <c r="D105" s="6" t="s">
        <v>295</v>
      </c>
      <c r="E105" s="3">
        <f t="shared" si="5"/>
        <v>0.27236098450319052</v>
      </c>
      <c r="F105">
        <f t="shared" si="6"/>
        <v>-1.3006269436610589</v>
      </c>
      <c r="G105">
        <v>99.238519999999994</v>
      </c>
      <c r="H105">
        <f t="shared" si="7"/>
        <v>4.5975262453710002</v>
      </c>
      <c r="I105">
        <v>76.934347826086963</v>
      </c>
      <c r="J105">
        <f t="shared" si="8"/>
        <v>4.3429524325264692</v>
      </c>
      <c r="K105">
        <f t="shared" si="9"/>
        <v>101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s="1" t="s">
        <v>296</v>
      </c>
      <c r="B106" s="4">
        <v>93434</v>
      </c>
      <c r="C106" s="7" t="s">
        <v>297</v>
      </c>
      <c r="D106" s="6" t="s">
        <v>298</v>
      </c>
      <c r="E106" s="3">
        <f t="shared" si="5"/>
        <v>0.27337998727619739</v>
      </c>
      <c r="F106">
        <f t="shared" si="6"/>
        <v>-1.2968925568001823</v>
      </c>
      <c r="G106">
        <v>104.3417</v>
      </c>
      <c r="H106">
        <f t="shared" si="7"/>
        <v>4.6476710903501521</v>
      </c>
      <c r="I106">
        <v>75.802857142857135</v>
      </c>
      <c r="J106">
        <f t="shared" si="8"/>
        <v>4.328135985115491</v>
      </c>
      <c r="K106">
        <f t="shared" si="9"/>
        <v>102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s="1" t="s">
        <v>299</v>
      </c>
      <c r="B107" s="4">
        <v>90527</v>
      </c>
      <c r="C107" s="7" t="s">
        <v>300</v>
      </c>
      <c r="D107" s="6" t="s">
        <v>301</v>
      </c>
      <c r="E107" s="3">
        <f t="shared" si="5"/>
        <v>0.27432238377311075</v>
      </c>
      <c r="F107">
        <f t="shared" si="6"/>
        <v>-1.2934512811119807</v>
      </c>
      <c r="G107">
        <v>106.711</v>
      </c>
      <c r="H107">
        <f t="shared" si="7"/>
        <v>4.6701242457775169</v>
      </c>
      <c r="I107">
        <v>75.229090909090914</v>
      </c>
      <c r="J107">
        <f t="shared" si="8"/>
        <v>4.3205380033450673</v>
      </c>
      <c r="K107">
        <f t="shared" si="9"/>
        <v>103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</row>
    <row r="108" spans="1:22" x14ac:dyDescent="0.35">
      <c r="A108" s="1" t="s">
        <v>302</v>
      </c>
      <c r="B108" s="4">
        <v>144001</v>
      </c>
      <c r="C108" s="7" t="s">
        <v>303</v>
      </c>
      <c r="D108" s="6" t="s">
        <v>304</v>
      </c>
      <c r="E108" s="3">
        <f t="shared" si="5"/>
        <v>0.27668827660723933</v>
      </c>
      <c r="F108">
        <f t="shared" si="6"/>
        <v>-1.284863761690954</v>
      </c>
      <c r="G108">
        <v>98.874009999999998</v>
      </c>
      <c r="H108">
        <f t="shared" si="7"/>
        <v>4.5938464133954664</v>
      </c>
      <c r="I108">
        <v>73.851304347826087</v>
      </c>
      <c r="J108">
        <f t="shared" si="8"/>
        <v>4.302053670944991</v>
      </c>
      <c r="K108">
        <f t="shared" si="9"/>
        <v>104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</row>
    <row r="109" spans="1:22" x14ac:dyDescent="0.35">
      <c r="A109" s="1" t="s">
        <v>305</v>
      </c>
      <c r="B109" s="4">
        <v>124482</v>
      </c>
      <c r="C109" s="7" t="s">
        <v>306</v>
      </c>
      <c r="D109" s="6" t="s">
        <v>307</v>
      </c>
      <c r="E109" s="3">
        <f t="shared" si="5"/>
        <v>0.27472085752568109</v>
      </c>
      <c r="F109">
        <f t="shared" si="6"/>
        <v>-1.2919997603844322</v>
      </c>
      <c r="G109">
        <v>102.8836</v>
      </c>
      <c r="H109">
        <f t="shared" si="7"/>
        <v>4.6335982521010459</v>
      </c>
      <c r="I109">
        <v>79.162999999999997</v>
      </c>
      <c r="J109">
        <f t="shared" si="8"/>
        <v>4.3715090179445033</v>
      </c>
      <c r="K109">
        <f t="shared" si="9"/>
        <v>105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</row>
    <row r="110" spans="1:22" x14ac:dyDescent="0.35">
      <c r="A110" s="1" t="s">
        <v>308</v>
      </c>
      <c r="B110" s="4">
        <v>139913</v>
      </c>
      <c r="C110" s="7" t="s">
        <v>309</v>
      </c>
      <c r="D110" s="6" t="s">
        <v>310</v>
      </c>
      <c r="E110" s="3">
        <f t="shared" si="5"/>
        <v>0.27402021635041673</v>
      </c>
      <c r="F110">
        <f t="shared" si="6"/>
        <v>-1.2945533930150559</v>
      </c>
      <c r="G110">
        <v>108.2602</v>
      </c>
      <c r="H110">
        <f t="shared" si="7"/>
        <v>4.6845375887715219</v>
      </c>
      <c r="I110">
        <v>80.783478260869572</v>
      </c>
      <c r="J110">
        <f t="shared" si="8"/>
        <v>4.3917724676493481</v>
      </c>
      <c r="K110">
        <f t="shared" si="9"/>
        <v>106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 x14ac:dyDescent="0.35">
      <c r="A111" s="1" t="s">
        <v>311</v>
      </c>
      <c r="B111" s="4">
        <v>155011</v>
      </c>
      <c r="C111" s="7" t="s">
        <v>312</v>
      </c>
      <c r="D111" s="6" t="s">
        <v>313</v>
      </c>
      <c r="E111" s="3">
        <f t="shared" si="5"/>
        <v>0.27215558299523723</v>
      </c>
      <c r="F111">
        <f t="shared" si="6"/>
        <v>-1.3013813799076523</v>
      </c>
      <c r="G111">
        <v>107.3489</v>
      </c>
      <c r="H111">
        <f t="shared" si="7"/>
        <v>4.6760842774162121</v>
      </c>
      <c r="I111">
        <v>66.228636363636355</v>
      </c>
      <c r="J111">
        <f t="shared" si="8"/>
        <v>4.1931129428788587</v>
      </c>
      <c r="K111">
        <f t="shared" si="9"/>
        <v>107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</row>
    <row r="112" spans="1:22" x14ac:dyDescent="0.35">
      <c r="A112" s="1" t="s">
        <v>314</v>
      </c>
      <c r="B112" s="4">
        <v>159752</v>
      </c>
      <c r="C112" s="7" t="s">
        <v>315</v>
      </c>
      <c r="D112" s="6" t="s">
        <v>316</v>
      </c>
      <c r="E112" s="3">
        <f t="shared" si="5"/>
        <v>0.27383850048858488</v>
      </c>
      <c r="F112">
        <f t="shared" si="6"/>
        <v>-1.2952167606421845</v>
      </c>
      <c r="G112">
        <v>105.253</v>
      </c>
      <c r="H112">
        <f t="shared" si="7"/>
        <v>4.6563669757192176</v>
      </c>
      <c r="I112">
        <v>57.948095238095242</v>
      </c>
      <c r="J112">
        <f t="shared" si="8"/>
        <v>4.0595477001876707</v>
      </c>
      <c r="K112">
        <f t="shared" si="9"/>
        <v>108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5">
      <c r="A113" s="1" t="s">
        <v>317</v>
      </c>
      <c r="B113" s="4">
        <v>107986</v>
      </c>
      <c r="C113" s="7" t="s">
        <v>318</v>
      </c>
      <c r="D113" s="6" t="s">
        <v>319</v>
      </c>
      <c r="E113" s="3">
        <f t="shared" si="5"/>
        <v>0.28305178112376056</v>
      </c>
      <c r="F113">
        <f t="shared" si="6"/>
        <v>-1.2621254259074999</v>
      </c>
      <c r="G113">
        <v>97.233699999999999</v>
      </c>
      <c r="H113">
        <f t="shared" si="7"/>
        <v>4.5771173591960563</v>
      </c>
      <c r="I113">
        <v>59.944782608695647</v>
      </c>
      <c r="J113">
        <f t="shared" si="8"/>
        <v>4.0934238486403318</v>
      </c>
      <c r="K113">
        <f t="shared" si="9"/>
        <v>109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5">
      <c r="A114" s="1" t="s">
        <v>320</v>
      </c>
      <c r="B114" s="4">
        <v>108560</v>
      </c>
      <c r="C114" s="7" t="s">
        <v>321</v>
      </c>
      <c r="D114" s="6" t="s">
        <v>322</v>
      </c>
      <c r="E114" s="3">
        <f t="shared" si="5"/>
        <v>0.27925690983235163</v>
      </c>
      <c r="F114">
        <f t="shared" si="6"/>
        <v>-1.2756230970870304</v>
      </c>
      <c r="G114">
        <v>100.42319999999999</v>
      </c>
      <c r="H114">
        <f t="shared" si="7"/>
        <v>4.6093932562609634</v>
      </c>
      <c r="I114">
        <v>64.384</v>
      </c>
      <c r="J114">
        <f t="shared" si="8"/>
        <v>4.1648651550372193</v>
      </c>
      <c r="K114">
        <f t="shared" si="9"/>
        <v>110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5">
      <c r="A115" s="1" t="s">
        <v>323</v>
      </c>
      <c r="B115" s="4">
        <v>171398</v>
      </c>
      <c r="C115" s="7" t="s">
        <v>312</v>
      </c>
      <c r="D115" s="6" t="s">
        <v>324</v>
      </c>
      <c r="E115" s="3">
        <f t="shared" si="5"/>
        <v>0.27746605521086232</v>
      </c>
      <c r="F115">
        <f t="shared" si="6"/>
        <v>-1.2820566768422454</v>
      </c>
      <c r="G115">
        <v>111.0852</v>
      </c>
      <c r="H115">
        <f t="shared" si="7"/>
        <v>4.7102974744505692</v>
      </c>
      <c r="I115">
        <v>66.941904761904766</v>
      </c>
      <c r="J115">
        <f t="shared" si="8"/>
        <v>4.2038251501423902</v>
      </c>
      <c r="K115">
        <f t="shared" si="9"/>
        <v>111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5">
      <c r="A116" s="1" t="s">
        <v>325</v>
      </c>
      <c r="B116" s="4">
        <v>129204</v>
      </c>
      <c r="C116" s="7" t="s">
        <v>326</v>
      </c>
      <c r="D116" s="6" t="s">
        <v>327</v>
      </c>
      <c r="E116" s="3">
        <f t="shared" si="5"/>
        <v>0.2763836646963998</v>
      </c>
      <c r="F116">
        <f t="shared" si="6"/>
        <v>-1.2859652890652116</v>
      </c>
      <c r="G116">
        <v>100.6054</v>
      </c>
      <c r="H116">
        <f t="shared" si="7"/>
        <v>4.6112059341574358</v>
      </c>
      <c r="I116">
        <v>71.475909090909084</v>
      </c>
      <c r="J116">
        <f t="shared" si="8"/>
        <v>4.2693604571328629</v>
      </c>
      <c r="K116">
        <f t="shared" si="9"/>
        <v>112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5">
      <c r="A117" s="1" t="s">
        <v>328</v>
      </c>
      <c r="B117" s="4">
        <v>116978</v>
      </c>
      <c r="C117" s="7" t="s">
        <v>329</v>
      </c>
      <c r="D117" s="6" t="s">
        <v>330</v>
      </c>
      <c r="E117" s="3">
        <f t="shared" si="5"/>
        <v>0.28444242148384158</v>
      </c>
      <c r="F117">
        <f t="shared" si="6"/>
        <v>-1.257224430840908</v>
      </c>
      <c r="G117">
        <v>97.415959999999998</v>
      </c>
      <c r="H117">
        <f t="shared" si="7"/>
        <v>4.5789900575944555</v>
      </c>
      <c r="I117">
        <v>70.389130434782615</v>
      </c>
      <c r="J117">
        <f t="shared" si="8"/>
        <v>4.2540388540103153</v>
      </c>
      <c r="K117">
        <f t="shared" si="9"/>
        <v>113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5">
      <c r="A118" s="1" t="s">
        <v>331</v>
      </c>
      <c r="B118" s="4">
        <v>101983</v>
      </c>
      <c r="C118" s="7" t="s">
        <v>332</v>
      </c>
      <c r="D118" s="6" t="s">
        <v>170</v>
      </c>
      <c r="E118" s="3">
        <f t="shared" si="5"/>
        <v>0.28997779011660191</v>
      </c>
      <c r="F118">
        <f t="shared" si="6"/>
        <v>-1.2379509447392809</v>
      </c>
      <c r="G118">
        <v>101.0611</v>
      </c>
      <c r="H118">
        <f t="shared" si="7"/>
        <v>4.6157252844275218</v>
      </c>
      <c r="I118">
        <v>63.208500000000001</v>
      </c>
      <c r="J118">
        <f t="shared" si="8"/>
        <v>4.1464387857802345</v>
      </c>
      <c r="K118">
        <f t="shared" si="9"/>
        <v>114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35">
      <c r="A119" s="1" t="s">
        <v>333</v>
      </c>
      <c r="B119" s="4">
        <v>103911</v>
      </c>
      <c r="C119" s="7" t="s">
        <v>334</v>
      </c>
      <c r="D119" s="6" t="s">
        <v>335</v>
      </c>
      <c r="E119" s="3">
        <f t="shared" si="5"/>
        <v>0.28722283813747229</v>
      </c>
      <c r="F119">
        <f t="shared" si="6"/>
        <v>-1.2474969249923424</v>
      </c>
      <c r="G119">
        <v>107.16670000000001</v>
      </c>
      <c r="H119">
        <f t="shared" si="7"/>
        <v>4.674385566051507</v>
      </c>
      <c r="I119">
        <v>64.322173913043486</v>
      </c>
      <c r="J119">
        <f t="shared" si="8"/>
        <v>4.1639044226988657</v>
      </c>
      <c r="K119">
        <f t="shared" si="9"/>
        <v>115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</row>
    <row r="120" spans="1:22" x14ac:dyDescent="0.35">
      <c r="A120" s="1" t="s">
        <v>336</v>
      </c>
      <c r="B120" s="4">
        <v>166944</v>
      </c>
      <c r="C120" s="7" t="s">
        <v>337</v>
      </c>
      <c r="D120" s="6" t="s">
        <v>338</v>
      </c>
      <c r="E120" s="3">
        <f t="shared" si="5"/>
        <v>0.29559612308271388</v>
      </c>
      <c r="F120">
        <f t="shared" si="6"/>
        <v>-1.2187612054111689</v>
      </c>
      <c r="G120">
        <v>94.135350000000003</v>
      </c>
      <c r="H120">
        <f t="shared" si="7"/>
        <v>4.5447336402342451</v>
      </c>
      <c r="I120">
        <v>59.618181818181817</v>
      </c>
      <c r="J120">
        <f t="shared" si="8"/>
        <v>4.0879605916121777</v>
      </c>
      <c r="K120">
        <f t="shared" si="9"/>
        <v>116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 x14ac:dyDescent="0.35">
      <c r="A121" s="1" t="s">
        <v>339</v>
      </c>
      <c r="B121" s="4">
        <v>152389</v>
      </c>
      <c r="C121" s="7" t="s">
        <v>340</v>
      </c>
      <c r="D121" s="6" t="s">
        <v>341</v>
      </c>
      <c r="E121" s="3">
        <f t="shared" si="5"/>
        <v>0.28974692966133231</v>
      </c>
      <c r="F121">
        <f t="shared" si="6"/>
        <v>-1.2387473933280577</v>
      </c>
      <c r="G121">
        <v>104.9796</v>
      </c>
      <c r="H121">
        <f t="shared" si="7"/>
        <v>4.6537660455673233</v>
      </c>
      <c r="I121">
        <v>62.430952380952377</v>
      </c>
      <c r="J121">
        <f t="shared" si="8"/>
        <v>4.1340611841383348</v>
      </c>
      <c r="K121">
        <f t="shared" si="9"/>
        <v>117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</row>
    <row r="122" spans="1:22" x14ac:dyDescent="0.35">
      <c r="A122" s="1" t="s">
        <v>342</v>
      </c>
      <c r="B122" s="4">
        <v>165864</v>
      </c>
      <c r="C122" s="7">
        <v>30.731000000000002</v>
      </c>
      <c r="D122" s="6" t="s">
        <v>343</v>
      </c>
      <c r="E122" s="3">
        <f t="shared" si="5"/>
        <v>0.28423048464668887</v>
      </c>
      <c r="F122">
        <f t="shared" si="6"/>
        <v>-1.2579698043049161</v>
      </c>
      <c r="G122">
        <v>100.1498</v>
      </c>
      <c r="H122">
        <f t="shared" si="7"/>
        <v>4.6066670651053396</v>
      </c>
      <c r="I122">
        <v>59.631304347826088</v>
      </c>
      <c r="J122">
        <f t="shared" si="8"/>
        <v>4.0881806769160081</v>
      </c>
      <c r="K122">
        <f t="shared" si="9"/>
        <v>118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</row>
    <row r="123" spans="1:22" x14ac:dyDescent="0.35">
      <c r="A123" s="1" t="s">
        <v>344</v>
      </c>
      <c r="B123" s="4">
        <v>177804</v>
      </c>
      <c r="C123" s="7" t="s">
        <v>345</v>
      </c>
      <c r="D123" s="6" t="s">
        <v>346</v>
      </c>
      <c r="E123" s="3">
        <f t="shared" si="5"/>
        <v>0.28016361797959372</v>
      </c>
      <c r="F123">
        <f t="shared" si="6"/>
        <v>-1.2723814965517031</v>
      </c>
      <c r="G123">
        <v>99.238519999999994</v>
      </c>
      <c r="H123">
        <f t="shared" si="7"/>
        <v>4.5975262453710002</v>
      </c>
      <c r="I123">
        <v>62.686666666666667</v>
      </c>
      <c r="J123">
        <f t="shared" si="8"/>
        <v>4.1381487721808208</v>
      </c>
      <c r="K123">
        <f t="shared" si="9"/>
        <v>119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</row>
    <row r="124" spans="1:22" x14ac:dyDescent="0.35">
      <c r="A124" s="1" t="s">
        <v>347</v>
      </c>
      <c r="B124" s="4">
        <v>177661</v>
      </c>
      <c r="C124" s="7">
        <v>30.324999999999999</v>
      </c>
      <c r="D124" s="6">
        <v>109.15</v>
      </c>
      <c r="E124" s="3">
        <f t="shared" si="5"/>
        <v>0.27782867613376083</v>
      </c>
      <c r="F124">
        <f t="shared" si="6"/>
        <v>-1.2807506281658392</v>
      </c>
      <c r="G124">
        <v>101.4256</v>
      </c>
      <c r="H124">
        <f t="shared" si="7"/>
        <v>4.6193255247762703</v>
      </c>
      <c r="I124">
        <v>65.348181818181814</v>
      </c>
      <c r="J124">
        <f t="shared" si="8"/>
        <v>4.1797296174671468</v>
      </c>
      <c r="K124">
        <f t="shared" si="9"/>
        <v>120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modified xsi:type="dcterms:W3CDTF">2026-05-24T15:08:36Z</dcterms:modified>
</cp:coreProperties>
</file>